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d2c26ab0bb051d/Desktop/MyExcel_Project/"/>
    </mc:Choice>
  </mc:AlternateContent>
  <xr:revisionPtr revIDLastSave="0" documentId="8_{2EEEBF20-8F25-41D6-830B-E727F27E18AD}" xr6:coauthVersionLast="47" xr6:coauthVersionMax="47" xr10:uidLastSave="{00000000-0000-0000-0000-000000000000}"/>
  <bookViews>
    <workbookView xWindow="-110" yWindow="-110" windowWidth="19420" windowHeight="10300" xr2:uid="{D6ECB660-5E91-4DE7-ABB4-92A9A1258276}"/>
  </bookViews>
  <sheets>
    <sheet name="Table1" sheetId="1" r:id="rId1"/>
    <sheet name="Tab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E2" i="1"/>
  <c r="E3" i="1"/>
  <c r="E4" i="1"/>
  <c r="E5" i="1"/>
  <c r="D2" i="1"/>
  <c r="D3" i="1"/>
  <c r="D4" i="1"/>
  <c r="D5" i="1"/>
  <c r="C2" i="1"/>
  <c r="C3" i="1"/>
  <c r="C4" i="1"/>
  <c r="C5" i="1"/>
</calcChain>
</file>

<file path=xl/sharedStrings.xml><?xml version="1.0" encoding="utf-8"?>
<sst xmlns="http://schemas.openxmlformats.org/spreadsheetml/2006/main" count="28" uniqueCount="20">
  <si>
    <t>Date</t>
  </si>
  <si>
    <t>Item ID</t>
  </si>
  <si>
    <t>Item Name</t>
  </si>
  <si>
    <t>Category</t>
  </si>
  <si>
    <t>Unit Price</t>
  </si>
  <si>
    <t>Quantity</t>
  </si>
  <si>
    <t>Total Cost</t>
  </si>
  <si>
    <t>R-101</t>
  </si>
  <si>
    <t>S-202</t>
  </si>
  <si>
    <t>C-303</t>
  </si>
  <si>
    <t>Price</t>
  </si>
  <si>
    <t>M-404</t>
  </si>
  <si>
    <t>Arduino Uno</t>
  </si>
  <si>
    <t>Ultrasonic Sensor</t>
  </si>
  <si>
    <t>Raspberry Pi 4</t>
  </si>
  <si>
    <t>Servo Motor</t>
  </si>
  <si>
    <t>Robotics</t>
  </si>
  <si>
    <t>Sensors</t>
  </si>
  <si>
    <t>Computing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</si>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</sst>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14" fontId="2" fillId="0" borderId="2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4" fontId="2" fillId="0" borderId="7" xfId="0" applyNumberFormat="1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0" borderId="8" xfId="0" applyNumberFormat="1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 readingOrder="1"/>
    </xf>
    <xf numFmtId="164" fontId="0" fillId="0" borderId="0" xfId="1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 readingOrder="1"/>
    </xf>
    <xf numFmtId="1" fontId="2" fillId="0" borderId="8" xfId="0" applyNumberFormat="1" applyFont="1" applyBorder="1" applyAlignment="1">
      <alignment horizontal="center" vertical="center" wrapText="1" readingOrder="1"/>
    </xf>
  </cellXfs>
  <cellStyles count="3">
    <cellStyle name="Currency" xfId="1" builtinId="4"/>
    <cellStyle name="Normal" xfId="0" builtinId="0"/>
    <cellStyle name="Percent" xfId="2" builtinId="5"/>
  </cellStyles>
  <dxfs count="19"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&quot;$&quot;#,##0.00"/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&quot;$&quot;#,##0.00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m/d/yyyy"/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CA4788-B5C8-4FCE-9F66-1D9628FC31AA}" name="Table4" displayName="Table4" ref="A1:G5" totalsRowShown="0" headerRowDxfId="18" dataDxfId="16" headerRowBorderDxfId="17" tableBorderDxfId="15" totalsRowBorderDxfId="14">
  <autoFilter ref="A1:G5" xr:uid="{57CA4788-B5C8-4FCE-9F66-1D9628FC31AA}"/>
  <tableColumns count="7">
    <tableColumn id="1" xr3:uid="{0CE8B257-1848-453F-857C-02C899852477}" name="Date" dataDxfId="13"/>
    <tableColumn id="2" xr3:uid="{B179CAA5-0277-483A-B46F-8041EA0A2EB1}" name="Item ID" dataDxfId="12"/>
    <tableColumn id="3" xr3:uid="{58985E4D-7AE7-4044-8C32-F2B74F3B3DC2}" name="Item Name" dataDxfId="11">
      <calculatedColumnFormula>_xlfn.XLOOKUP(Table4[[#This Row],[Item ID]], Table3[Item ID], Table3[Item Name])</calculatedColumnFormula>
    </tableColumn>
    <tableColumn id="4" xr3:uid="{3A59C4D4-E26B-4D36-8E79-77B5A6EE283A}" name="Category" dataDxfId="10">
      <calculatedColumnFormula>_xlfn.XLOOKUP(Table4[[#This Row],[Item ID]], Table3[Item ID], Table3[Category])</calculatedColumnFormula>
    </tableColumn>
    <tableColumn id="5" xr3:uid="{F301CCE9-FBA5-4D1E-997B-20ED5B0C1355}" name="Unit Price" dataDxfId="9">
      <calculatedColumnFormula>_xlfn.XLOOKUP(Table4[[#This Row],[Item ID]], Table3[Item ID], Table3[Price])</calculatedColumnFormula>
    </tableColumn>
    <tableColumn id="6" xr3:uid="{03FACA5E-23DA-4C1B-842D-A5984BFA4F96}" name="Quantity" dataDxfId="8"/>
    <tableColumn id="7" xr3:uid="{EDB66E3A-122F-406A-B340-6DFF2FD9C295}" name="Total Cost" dataDxfId="7">
      <calculatedColumnFormula>(1-_xlfn.XLOOKUP(Table4[[#This Row],[Unit Price]], Table3[Price], Table3[Discount Rate])) *Table4[[#This Row],[Unit Price]]*Table4[[#This Row],[Quantity]]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ADE4D-FAD8-4C95-B196-8FD450C457CC}" name="Table3" displayName="Table3" ref="A1:E5" totalsRowShown="0" headerRowDxfId="6" dataDxfId="5">
  <autoFilter ref="A1:E5" xr:uid="{E23ADE4D-FAD8-4C95-B196-8FD450C457CC}"/>
  <tableColumns count="5">
    <tableColumn id="1" xr3:uid="{B6DF89F3-AC55-4241-853D-5CADE3B38C3C}" name="Item ID" dataDxfId="4"/>
    <tableColumn id="2" xr3:uid="{2746D4B4-33DD-41CC-9B32-4436EBAFFC82}" name="Item Name" dataDxfId="3"/>
    <tableColumn id="3" xr3:uid="{04744061-E147-445E-8E2C-B0E10003A086}" name="Category" dataDxfId="2"/>
    <tableColumn id="4" xr3:uid="{6F10278E-F364-463B-BC40-2E9D5E61765B}" name="Price" dataDxfId="1" dataCellStyle="Currency"/>
    <tableColumn id="5" xr3:uid="{A172616B-44CC-41A5-B44D-92410A4D54A6}" name="Discount Rate" dataDxfId="0" dataCellStyle="Perce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B7B-FB11-43AF-943F-5461405F2391}">
  <dimension ref="A1:G6"/>
  <sheetViews>
    <sheetView tabSelected="1" workbookViewId="0">
      <selection activeCell="G3" sqref="G3"/>
    </sheetView>
  </sheetViews>
  <sheetFormatPr defaultRowHeight="14.5" x14ac:dyDescent="0.35"/>
  <cols>
    <col min="1" max="1" width="17.54296875" style="1" customWidth="1"/>
    <col min="2" max="2" width="11.7265625" style="1" bestFit="1" customWidth="1"/>
    <col min="3" max="3" width="15.1796875" style="1" bestFit="1" customWidth="1"/>
    <col min="4" max="4" width="13.7265625" style="1" bestFit="1" customWidth="1"/>
    <col min="5" max="5" width="14.36328125" style="1" bestFit="1" customWidth="1"/>
    <col min="6" max="6" width="13.08984375" style="1" bestFit="1" customWidth="1"/>
    <col min="7" max="7" width="18" style="1" customWidth="1"/>
  </cols>
  <sheetData>
    <row r="1" spans="1:7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5" thickBot="1" x14ac:dyDescent="0.4">
      <c r="A2" s="7">
        <v>45296</v>
      </c>
      <c r="B2" s="8" t="s">
        <v>7</v>
      </c>
      <c r="C2" s="8" t="str">
        <f>_xlfn.XLOOKUP(Table4[[#This Row],[Item ID]], Table3[Item ID], Table3[Item Name])</f>
        <v>Arduino Uno</v>
      </c>
      <c r="D2" s="8" t="str">
        <f>_xlfn.XLOOKUP(Table4[[#This Row],[Item ID]], Table3[Item ID], Table3[Category])</f>
        <v>Robotics</v>
      </c>
      <c r="E2" s="11">
        <f>_xlfn.XLOOKUP(Table4[[#This Row],[Item ID]], Table3[Item ID], Table3[Price])</f>
        <v>25</v>
      </c>
      <c r="F2" s="16">
        <v>5</v>
      </c>
      <c r="G2" s="14">
        <f>(1-_xlfn.XLOOKUP(Table4[[#This Row],[Unit Price]], Table3[Price], Table3[Discount Rate])) *Table4[[#This Row],[Unit Price]]*Table4[[#This Row],[Quantity]]</f>
        <v>112.5</v>
      </c>
    </row>
    <row r="3" spans="1:7" ht="28.5" thickBot="1" x14ac:dyDescent="0.4">
      <c r="A3" s="7">
        <v>46174</v>
      </c>
      <c r="B3" s="8" t="s">
        <v>8</v>
      </c>
      <c r="C3" s="8" t="str">
        <f>_xlfn.XLOOKUP(Table4[[#This Row],[Item ID]], Table3[Item ID], Table3[Item Name])</f>
        <v>Ultrasonic Sensor</v>
      </c>
      <c r="D3" s="8" t="str">
        <f>_xlfn.XLOOKUP(Table4[[#This Row],[Item ID]], Table3[Item ID], Table3[Category])</f>
        <v>Sensors</v>
      </c>
      <c r="E3" s="11">
        <f>_xlfn.XLOOKUP(Table4[[#This Row],[Item ID]], Table3[Item ID], Table3[Price])</f>
        <v>5</v>
      </c>
      <c r="F3" s="16">
        <v>10</v>
      </c>
      <c r="G3" s="14">
        <f>(1-_xlfn.XLOOKUP(Table4[[#This Row],[Unit Price]], Table3[Price], Table3[Discount Rate])) *Table4[[#This Row],[Unit Price]]*Table4[[#This Row],[Quantity]]</f>
        <v>47.5</v>
      </c>
    </row>
    <row r="4" spans="1:7" ht="15" thickBot="1" x14ac:dyDescent="0.4">
      <c r="A4" s="7">
        <v>45301</v>
      </c>
      <c r="B4" s="8" t="s">
        <v>9</v>
      </c>
      <c r="C4" s="8" t="str">
        <f>_xlfn.XLOOKUP(Table4[[#This Row],[Item ID]], Table3[Item ID], Table3[Item Name])</f>
        <v>Raspberry Pi 4</v>
      </c>
      <c r="D4" s="8" t="str">
        <f>_xlfn.XLOOKUP(Table4[[#This Row],[Item ID]], Table3[Item ID], Table3[Category])</f>
        <v>Computing</v>
      </c>
      <c r="E4" s="11">
        <f>_xlfn.XLOOKUP(Table4[[#This Row],[Item ID]], Table3[Item ID], Table3[Price])</f>
        <v>45</v>
      </c>
      <c r="F4" s="16">
        <v>2</v>
      </c>
      <c r="G4" s="14">
        <f>(1-_xlfn.XLOOKUP(Table4[[#This Row],[Unit Price]], Table3[Price], Table3[Discount Rate])) *Table4[[#This Row],[Unit Price]]*Table4[[#This Row],[Quantity]]</f>
        <v>76.5</v>
      </c>
    </row>
    <row r="5" spans="1:7" ht="15" thickBot="1" x14ac:dyDescent="0.4">
      <c r="A5" s="9">
        <v>45303</v>
      </c>
      <c r="B5" s="10" t="s">
        <v>7</v>
      </c>
      <c r="C5" s="10" t="str">
        <f>_xlfn.XLOOKUP(Table4[[#This Row],[Item ID]], Table3[Item ID], Table3[Item Name])</f>
        <v>Arduino Uno</v>
      </c>
      <c r="D5" s="10" t="str">
        <f>_xlfn.XLOOKUP(Table4[[#This Row],[Item ID]], Table3[Item ID], Table3[Category])</f>
        <v>Robotics</v>
      </c>
      <c r="E5" s="12">
        <f>_xlfn.XLOOKUP(Table4[[#This Row],[Item ID]], Table3[Item ID], Table3[Price])</f>
        <v>25</v>
      </c>
      <c r="F5" s="17">
        <v>1</v>
      </c>
      <c r="G5" s="14">
        <f>(1-_xlfn.XLOOKUP(Table4[[#This Row],[Unit Price]], Table3[Price], Table3[Discount Rate])) *Table4[[#This Row],[Unit Price]]*Table4[[#This Row],[Quantity]]</f>
        <v>22.5</v>
      </c>
    </row>
    <row r="6" spans="1:7" x14ac:dyDescent="0.35">
      <c r="F6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8A03-BE8D-47DF-9BB0-550369582F6D}">
  <dimension ref="A1:E5"/>
  <sheetViews>
    <sheetView workbookViewId="0">
      <selection activeCell="D10" sqref="D10"/>
    </sheetView>
  </sheetViews>
  <sheetFormatPr defaultRowHeight="14.5" x14ac:dyDescent="0.35"/>
  <cols>
    <col min="1" max="1" width="13.26953125" bestFit="1" customWidth="1"/>
    <col min="2" max="2" width="17.26953125" bestFit="1" customWidth="1"/>
    <col min="3" max="3" width="15" bestFit="1" customWidth="1"/>
    <col min="4" max="4" width="10.81640625" bestFit="1" customWidth="1"/>
    <col min="5" max="5" width="20.453125" bestFit="1" customWidth="1"/>
  </cols>
  <sheetData>
    <row r="1" spans="1:5" ht="18.5" x14ac:dyDescent="0.35">
      <c r="A1" s="2" t="s">
        <v>1</v>
      </c>
      <c r="B1" s="2" t="s">
        <v>2</v>
      </c>
      <c r="C1" s="2" t="s">
        <v>3</v>
      </c>
      <c r="D1" s="2" t="s">
        <v>10</v>
      </c>
      <c r="E1" s="2" t="s">
        <v>19</v>
      </c>
    </row>
    <row r="2" spans="1:5" x14ac:dyDescent="0.35">
      <c r="A2" s="1" t="s">
        <v>7</v>
      </c>
      <c r="B2" s="1" t="s">
        <v>12</v>
      </c>
      <c r="C2" s="1" t="s">
        <v>16</v>
      </c>
      <c r="D2" s="15">
        <v>25</v>
      </c>
      <c r="E2" s="3">
        <v>0.1</v>
      </c>
    </row>
    <row r="3" spans="1:5" x14ac:dyDescent="0.35">
      <c r="A3" s="1" t="s">
        <v>8</v>
      </c>
      <c r="B3" s="1" t="s">
        <v>13</v>
      </c>
      <c r="C3" s="1" t="s">
        <v>17</v>
      </c>
      <c r="D3" s="15">
        <v>5</v>
      </c>
      <c r="E3" s="3">
        <v>0.05</v>
      </c>
    </row>
    <row r="4" spans="1:5" x14ac:dyDescent="0.35">
      <c r="A4" s="1" t="s">
        <v>9</v>
      </c>
      <c r="B4" s="1" t="s">
        <v>14</v>
      </c>
      <c r="C4" s="1" t="s">
        <v>18</v>
      </c>
      <c r="D4" s="15">
        <v>45</v>
      </c>
      <c r="E4" s="3">
        <v>0.15</v>
      </c>
    </row>
    <row r="5" spans="1:5" x14ac:dyDescent="0.35">
      <c r="A5" s="1" t="s">
        <v>11</v>
      </c>
      <c r="B5" s="1" t="s">
        <v>15</v>
      </c>
      <c r="C5" s="1" t="s">
        <v>16</v>
      </c>
      <c r="D5" s="15">
        <v>12</v>
      </c>
      <c r="E5" s="3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Fatimə Kazimova</dc:creator>
  <cp:lastModifiedBy>Fatimə Kazimova</cp:lastModifiedBy>
  <dcterms:created xsi:type="dcterms:W3CDTF">2026-02-16T13:29:27Z</dcterms:created>
  <dcterms:modified xsi:type="dcterms:W3CDTF">2026-02-16T14:09:25Z</dcterms:modified>
</cp:coreProperties>
</file>