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azi\Downloads\"/>
    </mc:Choice>
  </mc:AlternateContent>
  <xr:revisionPtr revIDLastSave="0" documentId="8_{CA855520-42CC-4E41-8515-99C7C326E18A}" xr6:coauthVersionLast="47" xr6:coauthVersionMax="47" xr10:uidLastSave="{00000000-0000-0000-0000-000000000000}"/>
  <bookViews>
    <workbookView xWindow="-110" yWindow="-110" windowWidth="19420" windowHeight="10300" xr2:uid="{0E1905AA-F635-443F-801B-F997F8ADD2F1}"/>
  </bookViews>
  <sheets>
    <sheet name="student_analytics_dataset" sheetId="2" r:id="rId1"/>
    <sheet name="Dahsboard_1" sheetId="1" r:id="rId2"/>
    <sheet name="Dashboard_2" sheetId="4" r:id="rId3"/>
  </sheets>
  <definedNames>
    <definedName name="ExternalData_1" localSheetId="0" hidden="1">student_analytics_dataset!$A$1:$G$61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2" l="1"/>
  <c r="L8" i="2"/>
  <c r="K9" i="2"/>
  <c r="K8" i="2"/>
  <c r="K5" i="2"/>
  <c r="K4" i="2"/>
  <c r="K3" i="2"/>
  <c r="K2" i="2"/>
  <c r="K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2163A4-40E5-46EB-B5E9-895FEE55CCC7}" keepAlive="1" name="Query - student_analytics_dataset" description="Connection to the 'student_analytics_dataset' query in the workbook." type="5" refreshedVersion="8" background="1" saveData="1">
    <dbPr connection="Provider=Microsoft.Mashup.OleDb.1;Data Source=$Workbook$;Location=student_analytics_dataset;Extended Properties=&quot;&quot;" command="SELECT * FROM [student_analytics_dataset]"/>
  </connection>
</connections>
</file>

<file path=xl/sharedStrings.xml><?xml version="1.0" encoding="utf-8"?>
<sst xmlns="http://schemas.openxmlformats.org/spreadsheetml/2006/main" count="137" uniqueCount="17">
  <si>
    <t>Student ID</t>
  </si>
  <si>
    <t>Gender</t>
  </si>
  <si>
    <t>Study Hours</t>
  </si>
  <si>
    <t>Sleep Hours</t>
  </si>
  <si>
    <t>Social Media Hours</t>
  </si>
  <si>
    <t>CGPA</t>
  </si>
  <si>
    <t>Depression</t>
  </si>
  <si>
    <t>Female</t>
  </si>
  <si>
    <t>Yes</t>
  </si>
  <si>
    <t>Male</t>
  </si>
  <si>
    <t>No</t>
  </si>
  <si>
    <t>Total Students</t>
  </si>
  <si>
    <t>Average CGPA</t>
  </si>
  <si>
    <t xml:space="preserve">Depression rate (%) </t>
  </si>
  <si>
    <t>Average sleep hours</t>
  </si>
  <si>
    <t>Average study hours</t>
  </si>
  <si>
    <t>Average Social Media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</si>
</sst>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71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9"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Study Hours VS CGPA</a:t>
            </a:r>
          </a:p>
        </c:rich>
      </c:tx>
      <c:layout>
        <c:manualLayout>
          <c:xMode val="edge"/>
          <c:yMode val="edge"/>
          <c:x val="0.2549026684164479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student_analytics_dataset!$F$1</c:f>
              <c:strCache>
                <c:ptCount val="1"/>
                <c:pt idx="0">
                  <c:v>CGPA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4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student_analytics_dataset!$C$2:$C$61</c:f>
              <c:numCache>
                <c:formatCode>0</c:formatCode>
                <c:ptCount val="60"/>
                <c:pt idx="0">
                  <c:v>2.5</c:v>
                </c:pt>
                <c:pt idx="1">
                  <c:v>5</c:v>
                </c:pt>
                <c:pt idx="2">
                  <c:v>1.5</c:v>
                </c:pt>
                <c:pt idx="3">
                  <c:v>6</c:v>
                </c:pt>
                <c:pt idx="4">
                  <c:v>3</c:v>
                </c:pt>
                <c:pt idx="5">
                  <c:v>7</c:v>
                </c:pt>
                <c:pt idx="6">
                  <c:v>4</c:v>
                </c:pt>
                <c:pt idx="7">
                  <c:v>2</c:v>
                </c:pt>
                <c:pt idx="8">
                  <c:v>5.5</c:v>
                </c:pt>
                <c:pt idx="9">
                  <c:v>3</c:v>
                </c:pt>
                <c:pt idx="10">
                  <c:v>1</c:v>
                </c:pt>
                <c:pt idx="11">
                  <c:v>6.5</c:v>
                </c:pt>
                <c:pt idx="12">
                  <c:v>4.5</c:v>
                </c:pt>
                <c:pt idx="13">
                  <c:v>2.5</c:v>
                </c:pt>
                <c:pt idx="14">
                  <c:v>3.5</c:v>
                </c:pt>
                <c:pt idx="15">
                  <c:v>5</c:v>
                </c:pt>
                <c:pt idx="16">
                  <c:v>2</c:v>
                </c:pt>
                <c:pt idx="17">
                  <c:v>7</c:v>
                </c:pt>
                <c:pt idx="18">
                  <c:v>6</c:v>
                </c:pt>
                <c:pt idx="19">
                  <c:v>3</c:v>
                </c:pt>
                <c:pt idx="20">
                  <c:v>4</c:v>
                </c:pt>
                <c:pt idx="21">
                  <c:v>1.5</c:v>
                </c:pt>
                <c:pt idx="22">
                  <c:v>5</c:v>
                </c:pt>
                <c:pt idx="23">
                  <c:v>6</c:v>
                </c:pt>
                <c:pt idx="24">
                  <c:v>2.5</c:v>
                </c:pt>
                <c:pt idx="25">
                  <c:v>4</c:v>
                </c:pt>
                <c:pt idx="26">
                  <c:v>3</c:v>
                </c:pt>
                <c:pt idx="27">
                  <c:v>2</c:v>
                </c:pt>
                <c:pt idx="28">
                  <c:v>5.5</c:v>
                </c:pt>
                <c:pt idx="29">
                  <c:v>6</c:v>
                </c:pt>
                <c:pt idx="30">
                  <c:v>1.5</c:v>
                </c:pt>
                <c:pt idx="31">
                  <c:v>7</c:v>
                </c:pt>
                <c:pt idx="32">
                  <c:v>4.5</c:v>
                </c:pt>
                <c:pt idx="33">
                  <c:v>3</c:v>
                </c:pt>
                <c:pt idx="34">
                  <c:v>2</c:v>
                </c:pt>
                <c:pt idx="35">
                  <c:v>5</c:v>
                </c:pt>
                <c:pt idx="36">
                  <c:v>6</c:v>
                </c:pt>
                <c:pt idx="37">
                  <c:v>2.5</c:v>
                </c:pt>
                <c:pt idx="38">
                  <c:v>3.5</c:v>
                </c:pt>
                <c:pt idx="39">
                  <c:v>4</c:v>
                </c:pt>
                <c:pt idx="40">
                  <c:v>1</c:v>
                </c:pt>
                <c:pt idx="41">
                  <c:v>6.5</c:v>
                </c:pt>
                <c:pt idx="42">
                  <c:v>5</c:v>
                </c:pt>
                <c:pt idx="43">
                  <c:v>2</c:v>
                </c:pt>
                <c:pt idx="44">
                  <c:v>4</c:v>
                </c:pt>
                <c:pt idx="45">
                  <c:v>3</c:v>
                </c:pt>
                <c:pt idx="46">
                  <c:v>2.5</c:v>
                </c:pt>
                <c:pt idx="47">
                  <c:v>7</c:v>
                </c:pt>
                <c:pt idx="48">
                  <c:v>6</c:v>
                </c:pt>
                <c:pt idx="49">
                  <c:v>1.5</c:v>
                </c:pt>
                <c:pt idx="50">
                  <c:v>3</c:v>
                </c:pt>
                <c:pt idx="51">
                  <c:v>5</c:v>
                </c:pt>
                <c:pt idx="52">
                  <c:v>4.5</c:v>
                </c:pt>
                <c:pt idx="53">
                  <c:v>2</c:v>
                </c:pt>
                <c:pt idx="54">
                  <c:v>5.5</c:v>
                </c:pt>
                <c:pt idx="55">
                  <c:v>6</c:v>
                </c:pt>
                <c:pt idx="56">
                  <c:v>1.5</c:v>
                </c:pt>
                <c:pt idx="57">
                  <c:v>4</c:v>
                </c:pt>
                <c:pt idx="58">
                  <c:v>3.5</c:v>
                </c:pt>
                <c:pt idx="59">
                  <c:v>2.5</c:v>
                </c:pt>
              </c:numCache>
            </c:numRef>
          </c:xVal>
          <c:yVal>
            <c:numRef>
              <c:f>student_analytics_dataset!$F$2:$F$61</c:f>
              <c:numCache>
                <c:formatCode>General</c:formatCode>
                <c:ptCount val="60"/>
                <c:pt idx="0">
                  <c:v>2.8</c:v>
                </c:pt>
                <c:pt idx="1">
                  <c:v>3.5</c:v>
                </c:pt>
                <c:pt idx="2">
                  <c:v>2.4</c:v>
                </c:pt>
                <c:pt idx="3">
                  <c:v>3.8</c:v>
                </c:pt>
                <c:pt idx="4">
                  <c:v>3</c:v>
                </c:pt>
                <c:pt idx="5">
                  <c:v>3.9</c:v>
                </c:pt>
                <c:pt idx="6">
                  <c:v>3.2</c:v>
                </c:pt>
                <c:pt idx="7">
                  <c:v>2.7</c:v>
                </c:pt>
                <c:pt idx="8">
                  <c:v>3.6</c:v>
                </c:pt>
                <c:pt idx="9">
                  <c:v>3.1</c:v>
                </c:pt>
                <c:pt idx="10">
                  <c:v>2.2999999999999998</c:v>
                </c:pt>
                <c:pt idx="11">
                  <c:v>3.9</c:v>
                </c:pt>
                <c:pt idx="12">
                  <c:v>3.4</c:v>
                </c:pt>
                <c:pt idx="13">
                  <c:v>2.9</c:v>
                </c:pt>
                <c:pt idx="14">
                  <c:v>3.2</c:v>
                </c:pt>
                <c:pt idx="15">
                  <c:v>3.6</c:v>
                </c:pt>
                <c:pt idx="16">
                  <c:v>2.6</c:v>
                </c:pt>
                <c:pt idx="17">
                  <c:v>4</c:v>
                </c:pt>
                <c:pt idx="18">
                  <c:v>3.7</c:v>
                </c:pt>
                <c:pt idx="19">
                  <c:v>3</c:v>
                </c:pt>
                <c:pt idx="20">
                  <c:v>3.3</c:v>
                </c:pt>
                <c:pt idx="21">
                  <c:v>2.5</c:v>
                </c:pt>
                <c:pt idx="22">
                  <c:v>3.5</c:v>
                </c:pt>
                <c:pt idx="23">
                  <c:v>3.8</c:v>
                </c:pt>
                <c:pt idx="24">
                  <c:v>2.9</c:v>
                </c:pt>
                <c:pt idx="25">
                  <c:v>3.3</c:v>
                </c:pt>
                <c:pt idx="26">
                  <c:v>3.1</c:v>
                </c:pt>
                <c:pt idx="27">
                  <c:v>2.6</c:v>
                </c:pt>
                <c:pt idx="28">
                  <c:v>3.7</c:v>
                </c:pt>
                <c:pt idx="29">
                  <c:v>3.9</c:v>
                </c:pt>
                <c:pt idx="30">
                  <c:v>2.4</c:v>
                </c:pt>
                <c:pt idx="31">
                  <c:v>4</c:v>
                </c:pt>
                <c:pt idx="32">
                  <c:v>3.4</c:v>
                </c:pt>
                <c:pt idx="33">
                  <c:v>3.1</c:v>
                </c:pt>
                <c:pt idx="34">
                  <c:v>2.7</c:v>
                </c:pt>
                <c:pt idx="35">
                  <c:v>3.6</c:v>
                </c:pt>
                <c:pt idx="36">
                  <c:v>3.8</c:v>
                </c:pt>
                <c:pt idx="37">
                  <c:v>2.8</c:v>
                </c:pt>
                <c:pt idx="38">
                  <c:v>3.2</c:v>
                </c:pt>
                <c:pt idx="39">
                  <c:v>3.3</c:v>
                </c:pt>
                <c:pt idx="40">
                  <c:v>2.2000000000000002</c:v>
                </c:pt>
                <c:pt idx="41">
                  <c:v>3.9</c:v>
                </c:pt>
                <c:pt idx="42">
                  <c:v>3.5</c:v>
                </c:pt>
                <c:pt idx="43">
                  <c:v>2.7</c:v>
                </c:pt>
                <c:pt idx="44">
                  <c:v>3.3</c:v>
                </c:pt>
                <c:pt idx="45">
                  <c:v>3</c:v>
                </c:pt>
                <c:pt idx="46">
                  <c:v>2.8</c:v>
                </c:pt>
                <c:pt idx="47">
                  <c:v>4</c:v>
                </c:pt>
                <c:pt idx="48">
                  <c:v>3.8</c:v>
                </c:pt>
                <c:pt idx="49">
                  <c:v>2.5</c:v>
                </c:pt>
                <c:pt idx="50">
                  <c:v>3.1</c:v>
                </c:pt>
                <c:pt idx="51">
                  <c:v>3.6</c:v>
                </c:pt>
                <c:pt idx="52">
                  <c:v>3.4</c:v>
                </c:pt>
                <c:pt idx="53">
                  <c:v>2.6</c:v>
                </c:pt>
                <c:pt idx="54">
                  <c:v>3.6</c:v>
                </c:pt>
                <c:pt idx="55">
                  <c:v>3.9</c:v>
                </c:pt>
                <c:pt idx="56">
                  <c:v>2.4</c:v>
                </c:pt>
                <c:pt idx="57">
                  <c:v>3.3</c:v>
                </c:pt>
                <c:pt idx="58">
                  <c:v>3.2</c:v>
                </c:pt>
                <c:pt idx="59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04-4F70-A730-95A9FA5A1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907152"/>
        <c:axId val="731173824"/>
      </c:scatterChart>
      <c:valAx>
        <c:axId val="83790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STUDY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173824"/>
        <c:crosses val="autoZero"/>
        <c:crossBetween val="midCat"/>
      </c:valAx>
      <c:valAx>
        <c:axId val="73117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CGPA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90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cap="none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rPr>
              <a:t>Sleep Hours VS CGPA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cap="non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student_analytics_dataset!$F$1</c:f>
              <c:strCache>
                <c:ptCount val="1"/>
                <c:pt idx="0">
                  <c:v>CGPA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student_analytics_dataset!$D$2:$D$61</c:f>
              <c:numCache>
                <c:formatCode>0</c:formatCode>
                <c:ptCount val="60"/>
                <c:pt idx="0">
                  <c:v>5</c:v>
                </c:pt>
                <c:pt idx="1">
                  <c:v>7</c:v>
                </c:pt>
                <c:pt idx="2">
                  <c:v>4.5</c:v>
                </c:pt>
                <c:pt idx="3">
                  <c:v>8</c:v>
                </c:pt>
                <c:pt idx="4">
                  <c:v>6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7</c:v>
                </c:pt>
                <c:pt idx="9">
                  <c:v>6</c:v>
                </c:pt>
                <c:pt idx="10">
                  <c:v>4</c:v>
                </c:pt>
                <c:pt idx="11">
                  <c:v>8</c:v>
                </c:pt>
                <c:pt idx="12">
                  <c:v>7</c:v>
                </c:pt>
                <c:pt idx="13">
                  <c:v>5.5</c:v>
                </c:pt>
                <c:pt idx="14">
                  <c:v>6</c:v>
                </c:pt>
                <c:pt idx="15">
                  <c:v>7</c:v>
                </c:pt>
                <c:pt idx="16">
                  <c:v>5</c:v>
                </c:pt>
                <c:pt idx="17">
                  <c:v>8</c:v>
                </c:pt>
                <c:pt idx="18">
                  <c:v>7.5</c:v>
                </c:pt>
                <c:pt idx="19">
                  <c:v>6</c:v>
                </c:pt>
                <c:pt idx="20">
                  <c:v>6.5</c:v>
                </c:pt>
                <c:pt idx="21">
                  <c:v>4.5</c:v>
                </c:pt>
                <c:pt idx="22">
                  <c:v>7</c:v>
                </c:pt>
                <c:pt idx="23">
                  <c:v>8</c:v>
                </c:pt>
                <c:pt idx="24">
                  <c:v>5.5</c:v>
                </c:pt>
                <c:pt idx="25">
                  <c:v>6.5</c:v>
                </c:pt>
                <c:pt idx="26">
                  <c:v>6</c:v>
                </c:pt>
                <c:pt idx="27">
                  <c:v>5</c:v>
                </c:pt>
                <c:pt idx="28">
                  <c:v>7.5</c:v>
                </c:pt>
                <c:pt idx="29">
                  <c:v>8</c:v>
                </c:pt>
                <c:pt idx="30">
                  <c:v>4</c:v>
                </c:pt>
                <c:pt idx="31">
                  <c:v>8</c:v>
                </c:pt>
                <c:pt idx="32">
                  <c:v>6.5</c:v>
                </c:pt>
                <c:pt idx="33">
                  <c:v>6</c:v>
                </c:pt>
                <c:pt idx="34">
                  <c:v>5</c:v>
                </c:pt>
                <c:pt idx="35">
                  <c:v>7</c:v>
                </c:pt>
                <c:pt idx="36">
                  <c:v>7.5</c:v>
                </c:pt>
                <c:pt idx="37">
                  <c:v>5.5</c:v>
                </c:pt>
                <c:pt idx="38">
                  <c:v>6</c:v>
                </c:pt>
                <c:pt idx="39">
                  <c:v>6.5</c:v>
                </c:pt>
                <c:pt idx="40">
                  <c:v>4</c:v>
                </c:pt>
                <c:pt idx="41">
                  <c:v>8</c:v>
                </c:pt>
                <c:pt idx="42">
                  <c:v>7</c:v>
                </c:pt>
                <c:pt idx="43">
                  <c:v>5</c:v>
                </c:pt>
                <c:pt idx="44">
                  <c:v>6.5</c:v>
                </c:pt>
                <c:pt idx="45">
                  <c:v>6</c:v>
                </c:pt>
                <c:pt idx="46">
                  <c:v>5.5</c:v>
                </c:pt>
                <c:pt idx="47">
                  <c:v>8</c:v>
                </c:pt>
                <c:pt idx="48">
                  <c:v>7.5</c:v>
                </c:pt>
                <c:pt idx="49">
                  <c:v>4.5</c:v>
                </c:pt>
                <c:pt idx="50">
                  <c:v>6</c:v>
                </c:pt>
                <c:pt idx="51">
                  <c:v>7</c:v>
                </c:pt>
                <c:pt idx="52">
                  <c:v>6.5</c:v>
                </c:pt>
                <c:pt idx="53">
                  <c:v>5</c:v>
                </c:pt>
                <c:pt idx="54">
                  <c:v>7</c:v>
                </c:pt>
                <c:pt idx="55">
                  <c:v>8</c:v>
                </c:pt>
                <c:pt idx="56">
                  <c:v>4.5</c:v>
                </c:pt>
                <c:pt idx="57">
                  <c:v>6.5</c:v>
                </c:pt>
                <c:pt idx="58">
                  <c:v>6</c:v>
                </c:pt>
                <c:pt idx="59">
                  <c:v>5.5</c:v>
                </c:pt>
              </c:numCache>
            </c:numRef>
          </c:xVal>
          <c:yVal>
            <c:numRef>
              <c:f>student_analytics_dataset!$F$2:$F$61</c:f>
              <c:numCache>
                <c:formatCode>General</c:formatCode>
                <c:ptCount val="60"/>
                <c:pt idx="0">
                  <c:v>2.8</c:v>
                </c:pt>
                <c:pt idx="1">
                  <c:v>3.5</c:v>
                </c:pt>
                <c:pt idx="2">
                  <c:v>2.4</c:v>
                </c:pt>
                <c:pt idx="3">
                  <c:v>3.8</c:v>
                </c:pt>
                <c:pt idx="4">
                  <c:v>3</c:v>
                </c:pt>
                <c:pt idx="5">
                  <c:v>3.9</c:v>
                </c:pt>
                <c:pt idx="6">
                  <c:v>3.2</c:v>
                </c:pt>
                <c:pt idx="7">
                  <c:v>2.7</c:v>
                </c:pt>
                <c:pt idx="8">
                  <c:v>3.6</c:v>
                </c:pt>
                <c:pt idx="9">
                  <c:v>3.1</c:v>
                </c:pt>
                <c:pt idx="10">
                  <c:v>2.2999999999999998</c:v>
                </c:pt>
                <c:pt idx="11">
                  <c:v>3.9</c:v>
                </c:pt>
                <c:pt idx="12">
                  <c:v>3.4</c:v>
                </c:pt>
                <c:pt idx="13">
                  <c:v>2.9</c:v>
                </c:pt>
                <c:pt idx="14">
                  <c:v>3.2</c:v>
                </c:pt>
                <c:pt idx="15">
                  <c:v>3.6</c:v>
                </c:pt>
                <c:pt idx="16">
                  <c:v>2.6</c:v>
                </c:pt>
                <c:pt idx="17">
                  <c:v>4</c:v>
                </c:pt>
                <c:pt idx="18">
                  <c:v>3.7</c:v>
                </c:pt>
                <c:pt idx="19">
                  <c:v>3</c:v>
                </c:pt>
                <c:pt idx="20">
                  <c:v>3.3</c:v>
                </c:pt>
                <c:pt idx="21">
                  <c:v>2.5</c:v>
                </c:pt>
                <c:pt idx="22">
                  <c:v>3.5</c:v>
                </c:pt>
                <c:pt idx="23">
                  <c:v>3.8</c:v>
                </c:pt>
                <c:pt idx="24">
                  <c:v>2.9</c:v>
                </c:pt>
                <c:pt idx="25">
                  <c:v>3.3</c:v>
                </c:pt>
                <c:pt idx="26">
                  <c:v>3.1</c:v>
                </c:pt>
                <c:pt idx="27">
                  <c:v>2.6</c:v>
                </c:pt>
                <c:pt idx="28">
                  <c:v>3.7</c:v>
                </c:pt>
                <c:pt idx="29">
                  <c:v>3.9</c:v>
                </c:pt>
                <c:pt idx="30">
                  <c:v>2.4</c:v>
                </c:pt>
                <c:pt idx="31">
                  <c:v>4</c:v>
                </c:pt>
                <c:pt idx="32">
                  <c:v>3.4</c:v>
                </c:pt>
                <c:pt idx="33">
                  <c:v>3.1</c:v>
                </c:pt>
                <c:pt idx="34">
                  <c:v>2.7</c:v>
                </c:pt>
                <c:pt idx="35">
                  <c:v>3.6</c:v>
                </c:pt>
                <c:pt idx="36">
                  <c:v>3.8</c:v>
                </c:pt>
                <c:pt idx="37">
                  <c:v>2.8</c:v>
                </c:pt>
                <c:pt idx="38">
                  <c:v>3.2</c:v>
                </c:pt>
                <c:pt idx="39">
                  <c:v>3.3</c:v>
                </c:pt>
                <c:pt idx="40">
                  <c:v>2.2000000000000002</c:v>
                </c:pt>
                <c:pt idx="41">
                  <c:v>3.9</c:v>
                </c:pt>
                <c:pt idx="42">
                  <c:v>3.5</c:v>
                </c:pt>
                <c:pt idx="43">
                  <c:v>2.7</c:v>
                </c:pt>
                <c:pt idx="44">
                  <c:v>3.3</c:v>
                </c:pt>
                <c:pt idx="45">
                  <c:v>3</c:v>
                </c:pt>
                <c:pt idx="46">
                  <c:v>2.8</c:v>
                </c:pt>
                <c:pt idx="47">
                  <c:v>4</c:v>
                </c:pt>
                <c:pt idx="48">
                  <c:v>3.8</c:v>
                </c:pt>
                <c:pt idx="49">
                  <c:v>2.5</c:v>
                </c:pt>
                <c:pt idx="50">
                  <c:v>3.1</c:v>
                </c:pt>
                <c:pt idx="51">
                  <c:v>3.6</c:v>
                </c:pt>
                <c:pt idx="52">
                  <c:v>3.4</c:v>
                </c:pt>
                <c:pt idx="53">
                  <c:v>2.6</c:v>
                </c:pt>
                <c:pt idx="54">
                  <c:v>3.6</c:v>
                </c:pt>
                <c:pt idx="55">
                  <c:v>3.9</c:v>
                </c:pt>
                <c:pt idx="56">
                  <c:v>2.4</c:v>
                </c:pt>
                <c:pt idx="57">
                  <c:v>3.3</c:v>
                </c:pt>
                <c:pt idx="58">
                  <c:v>3.2</c:v>
                </c:pt>
                <c:pt idx="59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E1-455E-8407-6C3FBBAF2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830544"/>
        <c:axId val="2013831024"/>
      </c:scatterChart>
      <c:valAx>
        <c:axId val="201383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SLEEP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831024"/>
        <c:crosses val="autoZero"/>
        <c:crossBetween val="midCat"/>
      </c:valAx>
      <c:valAx>
        <c:axId val="201383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CGPA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83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20466</xdr:colOff>
      <xdr:row>1</xdr:row>
      <xdr:rowOff>4174</xdr:rowOff>
    </xdr:from>
    <xdr:to>
      <xdr:col>3</xdr:col>
      <xdr:colOff>580756</xdr:colOff>
      <xdr:row>15</xdr:row>
      <xdr:rowOff>70134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5B0CA5FE-86BC-3963-5122-5284537929D6}"/>
            </a:ext>
          </a:extLst>
        </xdr:cNvPr>
        <xdr:cNvGrpSpPr/>
      </xdr:nvGrpSpPr>
      <xdr:grpSpPr>
        <a:xfrm>
          <a:off x="20466" y="186568"/>
          <a:ext cx="2384226" cy="2619470"/>
          <a:chOff x="5053179" y="632418"/>
          <a:chExt cx="2384226" cy="2619470"/>
        </a:xfrm>
        <a:solidFill>
          <a:schemeClr val="accent1">
            <a:lumMod val="60000"/>
            <a:lumOff val="40000"/>
          </a:schemeClr>
        </a:solidFill>
      </xdr:grpSpPr>
      <xdr:sp macro="" textlink="">
        <xdr:nvSpPr>
          <xdr:cNvPr id="30" name="Freeform: Shape 29">
            <a:extLst>
              <a:ext uri="{FF2B5EF4-FFF2-40B4-BE49-F238E27FC236}">
                <a16:creationId xmlns:a16="http://schemas.microsoft.com/office/drawing/2014/main" id="{2E48A46B-C230-FB55-24C2-1F0FF1BB5DC7}"/>
              </a:ext>
            </a:extLst>
          </xdr:cNvPr>
          <xdr:cNvSpPr/>
        </xdr:nvSpPr>
        <xdr:spPr>
          <a:xfrm>
            <a:off x="5148548" y="735735"/>
            <a:ext cx="2288857" cy="715267"/>
          </a:xfrm>
          <a:custGeom>
            <a:avLst/>
            <a:gdLst>
              <a:gd name="csX0" fmla="*/ 0 w 2288857"/>
              <a:gd name="csY0" fmla="*/ 0 h 715267"/>
              <a:gd name="csX1" fmla="*/ 2288857 w 2288857"/>
              <a:gd name="csY1" fmla="*/ 0 h 715267"/>
              <a:gd name="csX2" fmla="*/ 2288857 w 2288857"/>
              <a:gd name="csY2" fmla="*/ 715267 h 715267"/>
              <a:gd name="csX3" fmla="*/ 0 w 2288857"/>
              <a:gd name="csY3" fmla="*/ 715267 h 715267"/>
              <a:gd name="csX4" fmla="*/ 0 w 2288857"/>
              <a:gd name="csY4" fmla="*/ 0 h 7152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</a:cxnLst>
            <a:rect l="l" t="t" r="r" b="b"/>
            <a:pathLst>
              <a:path w="2288857" h="715267">
                <a:moveTo>
                  <a:pt x="0" y="0"/>
                </a:moveTo>
                <a:lnTo>
                  <a:pt x="2288857" y="0"/>
                </a:lnTo>
                <a:lnTo>
                  <a:pt x="2288857" y="715267"/>
                </a:lnTo>
                <a:lnTo>
                  <a:pt x="0" y="715267"/>
                </a:lnTo>
                <a:lnTo>
                  <a:pt x="0" y="0"/>
                </a:lnTo>
                <a:close/>
              </a:path>
            </a:pathLst>
          </a:custGeom>
          <a:solidFill>
            <a:schemeClr val="accent1">
              <a:lumMod val="60000"/>
              <a:lumOff val="40000"/>
            </a:schemeClr>
          </a:solidFill>
        </xdr:spPr>
        <xdr:style>
          <a:lnRef idx="1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4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4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84475" tIns="125730" rIns="125730" bIns="125730" numCol="1" spcCol="1270" anchor="ctr" anchorCtr="0">
            <a:noAutofit/>
          </a:bodyPr>
          <a:lstStyle/>
          <a:p>
            <a:pPr marL="0" lvl="0" indent="0" algn="ctr" defTabSz="14668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US" sz="1800" b="1" kern="1200">
                <a:solidFill>
                  <a:schemeClr val="tx1"/>
                </a:solidFill>
              </a:rPr>
              <a:t>Average CGPA</a:t>
            </a:r>
          </a:p>
        </xdr:txBody>
      </xdr:sp>
      <xdr:sp macro="" textlink="student_analytics_dataset!$K$2">
        <xdr:nvSpPr>
          <xdr:cNvPr id="31" name="Rectangle 30">
            <a:extLst>
              <a:ext uri="{FF2B5EF4-FFF2-40B4-BE49-F238E27FC236}">
                <a16:creationId xmlns:a16="http://schemas.microsoft.com/office/drawing/2014/main" id="{81E39716-DDAE-634A-FC40-F06A9DECA5F3}"/>
              </a:ext>
            </a:extLst>
          </xdr:cNvPr>
          <xdr:cNvSpPr/>
        </xdr:nvSpPr>
        <xdr:spPr>
          <a:xfrm>
            <a:off x="5053179" y="632418"/>
            <a:ext cx="500687" cy="751031"/>
          </a:xfrm>
          <a:prstGeom prst="rect">
            <a:avLst/>
          </a:prstGeom>
          <a:solidFill>
            <a:schemeClr val="accent1">
              <a:lumMod val="75000"/>
            </a:schemeClr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tint val="50000"/>
              <a:hueOff val="0"/>
              <a:satOff val="0"/>
              <a:lumOff val="0"/>
              <a:alphaOff val="0"/>
            </a:schemeClr>
          </a:fillRef>
          <a:effectRef idx="0">
            <a:schemeClr val="accent1">
              <a:tint val="50000"/>
              <a:hueOff val="0"/>
              <a:satOff val="0"/>
              <a:lumOff val="0"/>
              <a:alphaOff val="0"/>
            </a:schemeClr>
          </a:effectRef>
          <a:fontRef idx="minor">
            <a:schemeClr val="lt1">
              <a:hueOff val="0"/>
              <a:satOff val="0"/>
              <a:lumOff val="0"/>
              <a:alphaOff val="0"/>
            </a:schemeClr>
          </a:fontRef>
        </xdr:style>
        <xdr:txBody>
          <a:bodyPr anchor="ctr"/>
          <a:lstStyle/>
          <a:p>
            <a:pPr algn="ctr"/>
            <a:fld id="{6DA59E4A-320A-4E8F-89CD-36560B544AEE}" type="TxLink">
              <a:rPr lang="en-US" sz="24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3</a:t>
            </a:fld>
            <a:endParaRPr lang="en-US" sz="2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xdr:txBody>
      </xdr:sp>
      <xdr:sp macro="" textlink="">
        <xdr:nvSpPr>
          <xdr:cNvPr id="32" name="Freeform: Shape 31">
            <a:extLst>
              <a:ext uri="{FF2B5EF4-FFF2-40B4-BE49-F238E27FC236}">
                <a16:creationId xmlns:a16="http://schemas.microsoft.com/office/drawing/2014/main" id="{6ECDC85B-FC04-0B10-4505-80EBA0222FD2}"/>
              </a:ext>
            </a:extLst>
          </xdr:cNvPr>
          <xdr:cNvSpPr/>
        </xdr:nvSpPr>
        <xdr:spPr>
          <a:xfrm>
            <a:off x="5148548" y="1636178"/>
            <a:ext cx="2288857" cy="715267"/>
          </a:xfrm>
          <a:custGeom>
            <a:avLst/>
            <a:gdLst>
              <a:gd name="csX0" fmla="*/ 0 w 2288857"/>
              <a:gd name="csY0" fmla="*/ 0 h 715267"/>
              <a:gd name="csX1" fmla="*/ 2288857 w 2288857"/>
              <a:gd name="csY1" fmla="*/ 0 h 715267"/>
              <a:gd name="csX2" fmla="*/ 2288857 w 2288857"/>
              <a:gd name="csY2" fmla="*/ 715267 h 715267"/>
              <a:gd name="csX3" fmla="*/ 0 w 2288857"/>
              <a:gd name="csY3" fmla="*/ 715267 h 715267"/>
              <a:gd name="csX4" fmla="*/ 0 w 2288857"/>
              <a:gd name="csY4" fmla="*/ 0 h 7152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</a:cxnLst>
            <a:rect l="l" t="t" r="r" b="b"/>
            <a:pathLst>
              <a:path w="2288857" h="715267">
                <a:moveTo>
                  <a:pt x="0" y="0"/>
                </a:moveTo>
                <a:lnTo>
                  <a:pt x="2288857" y="0"/>
                </a:lnTo>
                <a:lnTo>
                  <a:pt x="2288857" y="715267"/>
                </a:lnTo>
                <a:lnTo>
                  <a:pt x="0" y="715267"/>
                </a:lnTo>
                <a:lnTo>
                  <a:pt x="0" y="0"/>
                </a:lnTo>
                <a:close/>
              </a:path>
            </a:pathLst>
          </a:custGeom>
          <a:grpFill/>
        </xdr:spPr>
        <xdr:style>
          <a:lnRef idx="1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4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4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84475" tIns="125730" rIns="125730" bIns="125730" numCol="1" spcCol="1270" anchor="ctr" anchorCtr="0">
            <a:noAutofit/>
          </a:bodyPr>
          <a:lstStyle/>
          <a:p>
            <a:pPr marL="0" lvl="0" indent="0" algn="ctr" defTabSz="14668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US" sz="1800" b="1" kern="1200"/>
              <a:t>Average</a:t>
            </a:r>
            <a:r>
              <a:rPr lang="en-US" sz="1800" b="1" kern="1200" baseline="0"/>
              <a:t> Sleep Hours</a:t>
            </a:r>
            <a:endParaRPr lang="en-US" sz="1800" b="1" kern="1200"/>
          </a:p>
        </xdr:txBody>
      </xdr:sp>
      <xdr:sp macro="" textlink="student_analytics_dataset!$K$4">
        <xdr:nvSpPr>
          <xdr:cNvPr id="33" name="Rectangle 32">
            <a:extLst>
              <a:ext uri="{FF2B5EF4-FFF2-40B4-BE49-F238E27FC236}">
                <a16:creationId xmlns:a16="http://schemas.microsoft.com/office/drawing/2014/main" id="{5D832974-4AEB-A9D6-3687-2F63D033A551}"/>
              </a:ext>
            </a:extLst>
          </xdr:cNvPr>
          <xdr:cNvSpPr/>
        </xdr:nvSpPr>
        <xdr:spPr>
          <a:xfrm>
            <a:off x="5053179" y="1532861"/>
            <a:ext cx="500687" cy="751031"/>
          </a:xfrm>
          <a:prstGeom prst="rect">
            <a:avLst/>
          </a:prstGeom>
          <a:solidFill>
            <a:schemeClr val="accent1">
              <a:lumMod val="75000"/>
            </a:schemeClr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tint val="50000"/>
              <a:hueOff val="0"/>
              <a:satOff val="0"/>
              <a:lumOff val="0"/>
              <a:alphaOff val="0"/>
            </a:schemeClr>
          </a:fillRef>
          <a:effectRef idx="0">
            <a:schemeClr val="accent1">
              <a:tint val="50000"/>
              <a:hueOff val="0"/>
              <a:satOff val="0"/>
              <a:lumOff val="0"/>
              <a:alphaOff val="0"/>
            </a:schemeClr>
          </a:effectRef>
          <a:fontRef idx="minor">
            <a:schemeClr val="lt1">
              <a:hueOff val="0"/>
              <a:satOff val="0"/>
              <a:lumOff val="0"/>
              <a:alphaOff val="0"/>
            </a:schemeClr>
          </a:fontRef>
        </xdr:style>
        <xdr:txBody>
          <a:bodyPr anchor="ctr"/>
          <a:lstStyle/>
          <a:p>
            <a:pPr algn="ctr"/>
            <a:fld id="{372DB6CF-96B5-45F5-A7FE-E426CE722FD4}" type="TxLink">
              <a:rPr lang="en-US" sz="24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6</a:t>
            </a:fld>
            <a:endParaRPr lang="en-US" sz="2400" b="1">
              <a:solidFill>
                <a:schemeClr val="bg1"/>
              </a:solidFill>
            </a:endParaRPr>
          </a:p>
        </xdr:txBody>
      </xdr:sp>
      <xdr:sp macro="" textlink="">
        <xdr:nvSpPr>
          <xdr:cNvPr id="34" name="Freeform: Shape 33">
            <a:extLst>
              <a:ext uri="{FF2B5EF4-FFF2-40B4-BE49-F238E27FC236}">
                <a16:creationId xmlns:a16="http://schemas.microsoft.com/office/drawing/2014/main" id="{5B819714-1075-3E14-2D84-7D7D5C46E5F8}"/>
              </a:ext>
            </a:extLst>
          </xdr:cNvPr>
          <xdr:cNvSpPr/>
        </xdr:nvSpPr>
        <xdr:spPr>
          <a:xfrm>
            <a:off x="5148548" y="2536621"/>
            <a:ext cx="2288857" cy="715267"/>
          </a:xfrm>
          <a:custGeom>
            <a:avLst/>
            <a:gdLst>
              <a:gd name="csX0" fmla="*/ 0 w 2288857"/>
              <a:gd name="csY0" fmla="*/ 0 h 715267"/>
              <a:gd name="csX1" fmla="*/ 2288857 w 2288857"/>
              <a:gd name="csY1" fmla="*/ 0 h 715267"/>
              <a:gd name="csX2" fmla="*/ 2288857 w 2288857"/>
              <a:gd name="csY2" fmla="*/ 715267 h 715267"/>
              <a:gd name="csX3" fmla="*/ 0 w 2288857"/>
              <a:gd name="csY3" fmla="*/ 715267 h 715267"/>
              <a:gd name="csX4" fmla="*/ 0 w 2288857"/>
              <a:gd name="csY4" fmla="*/ 0 h 71526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</a:cxnLst>
            <a:rect l="l" t="t" r="r" b="b"/>
            <a:pathLst>
              <a:path w="2288857" h="715267">
                <a:moveTo>
                  <a:pt x="0" y="0"/>
                </a:moveTo>
                <a:lnTo>
                  <a:pt x="2288857" y="0"/>
                </a:lnTo>
                <a:lnTo>
                  <a:pt x="2288857" y="715267"/>
                </a:lnTo>
                <a:lnTo>
                  <a:pt x="0" y="715267"/>
                </a:lnTo>
                <a:lnTo>
                  <a:pt x="0" y="0"/>
                </a:lnTo>
                <a:close/>
              </a:path>
            </a:pathLst>
          </a:custGeom>
          <a:grpFill/>
        </xdr:spPr>
        <xdr:style>
          <a:lnRef idx="1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4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4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84475" tIns="125730" rIns="125730" bIns="125730" numCol="1" spcCol="1270" anchor="ctr" anchorCtr="0">
            <a:noAutofit/>
          </a:bodyPr>
          <a:lstStyle/>
          <a:p>
            <a:pPr marL="0" lvl="0" indent="0" algn="ctr" defTabSz="14668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US" sz="1800" b="1" kern="1200"/>
              <a:t>Average</a:t>
            </a:r>
            <a:r>
              <a:rPr lang="en-US" sz="1800" b="1" kern="1200" baseline="0"/>
              <a:t> Study Hours</a:t>
            </a:r>
            <a:endParaRPr lang="en-US" sz="1800" b="1" kern="1200"/>
          </a:p>
        </xdr:txBody>
      </xdr:sp>
      <xdr:sp macro="" textlink="student_analytics_dataset!$K$5">
        <xdr:nvSpPr>
          <xdr:cNvPr id="35" name="Rectangle 34">
            <a:extLst>
              <a:ext uri="{FF2B5EF4-FFF2-40B4-BE49-F238E27FC236}">
                <a16:creationId xmlns:a16="http://schemas.microsoft.com/office/drawing/2014/main" id="{1469F799-3BAE-D415-A56F-24282C384813}"/>
              </a:ext>
            </a:extLst>
          </xdr:cNvPr>
          <xdr:cNvSpPr/>
        </xdr:nvSpPr>
        <xdr:spPr>
          <a:xfrm>
            <a:off x="5053179" y="2433304"/>
            <a:ext cx="500687" cy="751031"/>
          </a:xfrm>
          <a:prstGeom prst="rect">
            <a:avLst/>
          </a:prstGeom>
          <a:solidFill>
            <a:schemeClr val="accent1">
              <a:lumMod val="75000"/>
            </a:schemeClr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tint val="50000"/>
              <a:hueOff val="0"/>
              <a:satOff val="0"/>
              <a:lumOff val="0"/>
              <a:alphaOff val="0"/>
            </a:schemeClr>
          </a:fillRef>
          <a:effectRef idx="0">
            <a:schemeClr val="accent1">
              <a:tint val="50000"/>
              <a:hueOff val="0"/>
              <a:satOff val="0"/>
              <a:lumOff val="0"/>
              <a:alphaOff val="0"/>
            </a:schemeClr>
          </a:effectRef>
          <a:fontRef idx="minor">
            <a:schemeClr val="lt1">
              <a:hueOff val="0"/>
              <a:satOff val="0"/>
              <a:lumOff val="0"/>
              <a:alphaOff val="0"/>
            </a:schemeClr>
          </a:fontRef>
        </xdr:style>
        <xdr:txBody>
          <a:bodyPr anchor="ctr"/>
          <a:lstStyle/>
          <a:p>
            <a:pPr algn="ctr"/>
            <a:fld id="{94F35421-E721-4391-8309-B42774315A71}" type="TxLink">
              <a:rPr lang="en-US" sz="24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4</a:t>
            </a:fld>
            <a:endParaRPr lang="en-US" sz="2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</xdr:col>
      <xdr:colOff>338441</xdr:colOff>
      <xdr:row>1</xdr:row>
      <xdr:rowOff>70660</xdr:rowOff>
    </xdr:from>
    <xdr:to>
      <xdr:col>12</xdr:col>
      <xdr:colOff>46612</xdr:colOff>
      <xdr:row>16</xdr:row>
      <xdr:rowOff>77956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9C5A66C8-964E-028F-222B-2AA64B438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297233</xdr:colOff>
      <xdr:row>16</xdr:row>
      <xdr:rowOff>109504</xdr:rowOff>
    </xdr:from>
    <xdr:ext cx="9450691" cy="342786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00C9841-A36C-B800-7B33-A5643F736834}"/>
            </a:ext>
          </a:extLst>
        </xdr:cNvPr>
        <xdr:cNvSpPr txBox="1"/>
      </xdr:nvSpPr>
      <xdr:spPr>
        <a:xfrm>
          <a:off x="3337127" y="3027802"/>
          <a:ext cx="9450691" cy="342786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 b="1">
              <a:solidFill>
                <a:schemeClr val="bg1"/>
              </a:solidFill>
            </a:rPr>
            <a:t>Both plots show a positive relationship: students who study and sleep more tend to have higher CGPA.</a:t>
          </a:r>
        </a:p>
      </xdr:txBody>
    </xdr:sp>
    <xdr:clientData/>
  </xdr:oneCellAnchor>
  <xdr:twoCellAnchor>
    <xdr:from>
      <xdr:col>12</xdr:col>
      <xdr:colOff>318176</xdr:colOff>
      <xdr:row>1</xdr:row>
      <xdr:rowOff>50394</xdr:rowOff>
    </xdr:from>
    <xdr:to>
      <xdr:col>20</xdr:col>
      <xdr:colOff>26346</xdr:colOff>
      <xdr:row>16</xdr:row>
      <xdr:rowOff>57690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594AD60-E4BE-5394-14F4-2429ACD47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260589</xdr:colOff>
      <xdr:row>1</xdr:row>
      <xdr:rowOff>82550</xdr:rowOff>
    </xdr:from>
    <xdr:to>
      <xdr:col>7</xdr:col>
      <xdr:colOff>482360</xdr:colOff>
      <xdr:row>16</xdr:row>
      <xdr:rowOff>63500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87F12A8-FB7E-9173-B409-B478F12291FB}"/>
            </a:ext>
          </a:extLst>
        </xdr:cNvPr>
        <xdr:cNvGrpSpPr/>
      </xdr:nvGrpSpPr>
      <xdr:grpSpPr>
        <a:xfrm>
          <a:off x="260589" y="266700"/>
          <a:ext cx="4488971" cy="2743200"/>
          <a:chOff x="3626089" y="450850"/>
          <a:chExt cx="4488971" cy="2743200"/>
        </a:xfrm>
      </xdr:grpSpPr>
      <xdr:sp macro="" textlink="">
        <xdr:nvSpPr>
          <xdr:cNvPr id="19" name="Rectangle: Diagonal Corners Rounded 18">
            <a:extLst>
              <a:ext uri="{FF2B5EF4-FFF2-40B4-BE49-F238E27FC236}">
                <a16:creationId xmlns:a16="http://schemas.microsoft.com/office/drawing/2014/main" id="{BA39F410-794C-DAC6-DEE3-E3C556482543}"/>
              </a:ext>
            </a:extLst>
          </xdr:cNvPr>
          <xdr:cNvSpPr/>
        </xdr:nvSpPr>
        <xdr:spPr>
          <a:xfrm>
            <a:off x="4187210" y="917193"/>
            <a:ext cx="3366729" cy="1810512"/>
          </a:xfrm>
          <a:prstGeom prst="round2DiagRect">
            <a:avLst>
              <a:gd name="adj1" fmla="val 0"/>
              <a:gd name="adj2" fmla="val 1667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anchor="t"/>
          <a:lstStyle/>
          <a:p>
            <a:pPr algn="l"/>
            <a:endParaRPr lang="en-US" sz="1200" b="1"/>
          </a:p>
        </xdr:txBody>
      </xdr:sp>
      <xdr:sp macro="" textlink="">
        <xdr:nvSpPr>
          <xdr:cNvPr id="20" name="Straight Connector 19">
            <a:extLst>
              <a:ext uri="{FF2B5EF4-FFF2-40B4-BE49-F238E27FC236}">
                <a16:creationId xmlns:a16="http://schemas.microsoft.com/office/drawing/2014/main" id="{5C5C6D4C-75DB-46A9-8034-4A396DFB149F}"/>
              </a:ext>
            </a:extLst>
          </xdr:cNvPr>
          <xdr:cNvSpPr/>
        </xdr:nvSpPr>
        <xdr:spPr>
          <a:xfrm>
            <a:off x="5870574" y="1109217"/>
            <a:ext cx="448" cy="1426464"/>
          </a:xfrm>
          <a:prstGeom prst="line">
            <a:avLst/>
          </a:prstGeom>
        </xdr:spPr>
        <xdr:style>
          <a:lnRef idx="2">
            <a:schemeClr val="accent1">
              <a:tint val="50000"/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21" name="Freeform: Shape 20">
            <a:extLst>
              <a:ext uri="{FF2B5EF4-FFF2-40B4-BE49-F238E27FC236}">
                <a16:creationId xmlns:a16="http://schemas.microsoft.com/office/drawing/2014/main" id="{30562001-BA21-D7CB-0B18-FEA788BA40BA}"/>
              </a:ext>
            </a:extLst>
          </xdr:cNvPr>
          <xdr:cNvSpPr/>
        </xdr:nvSpPr>
        <xdr:spPr>
          <a:xfrm>
            <a:off x="4299434" y="1054353"/>
            <a:ext cx="1458916" cy="1536192"/>
          </a:xfrm>
          <a:custGeom>
            <a:avLst/>
            <a:gdLst>
              <a:gd name="csX0" fmla="*/ 0 w 1458916"/>
              <a:gd name="csY0" fmla="*/ 0 h 1536192"/>
              <a:gd name="csX1" fmla="*/ 1458916 w 1458916"/>
              <a:gd name="csY1" fmla="*/ 0 h 1536192"/>
              <a:gd name="csX2" fmla="*/ 1458916 w 1458916"/>
              <a:gd name="csY2" fmla="*/ 1536192 h 1536192"/>
              <a:gd name="csX3" fmla="*/ 0 w 1458916"/>
              <a:gd name="csY3" fmla="*/ 1536192 h 1536192"/>
              <a:gd name="csX4" fmla="*/ 0 w 1458916"/>
              <a:gd name="csY4" fmla="*/ 0 h 15361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</a:cxnLst>
            <a:rect l="l" t="t" r="r" b="b"/>
            <a:pathLst>
              <a:path w="1458916" h="1536192">
                <a:moveTo>
                  <a:pt x="0" y="0"/>
                </a:moveTo>
                <a:lnTo>
                  <a:pt x="1458916" y="0"/>
                </a:lnTo>
                <a:lnTo>
                  <a:pt x="1458916" y="1536192"/>
                </a:lnTo>
                <a:lnTo>
                  <a:pt x="0" y="1536192"/>
                </a:lnTo>
                <a:lnTo>
                  <a:pt x="0" y="0"/>
                </a:lnTo>
                <a:close/>
              </a:path>
            </a:pathLst>
          </a:custGeom>
          <a:noFill/>
          <a:ln>
            <a:noFill/>
          </a:ln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hemeClr val="lt1">
              <a:alpha val="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152400" tIns="152400" rIns="152400" bIns="152400" numCol="1" spcCol="1270" anchor="t" anchorCtr="0">
            <a:noAutofit/>
          </a:bodyPr>
          <a:lstStyle/>
          <a:p>
            <a:pPr marL="0" lvl="0" indent="0" algn="l" defTabSz="17780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en-US" sz="4000" kern="1200"/>
          </a:p>
        </xdr:txBody>
      </xdr:sp>
      <xdr:sp macro="" textlink="">
        <xdr:nvSpPr>
          <xdr:cNvPr id="22" name="Freeform: Shape 21">
            <a:extLst>
              <a:ext uri="{FF2B5EF4-FFF2-40B4-BE49-F238E27FC236}">
                <a16:creationId xmlns:a16="http://schemas.microsoft.com/office/drawing/2014/main" id="{1000EBBD-C5F0-774C-1F10-6356ACA8E6C0}"/>
              </a:ext>
            </a:extLst>
          </xdr:cNvPr>
          <xdr:cNvSpPr/>
        </xdr:nvSpPr>
        <xdr:spPr>
          <a:xfrm>
            <a:off x="5982799" y="1054353"/>
            <a:ext cx="1458916" cy="1536192"/>
          </a:xfrm>
          <a:custGeom>
            <a:avLst/>
            <a:gdLst>
              <a:gd name="csX0" fmla="*/ 0 w 1458916"/>
              <a:gd name="csY0" fmla="*/ 0 h 1536192"/>
              <a:gd name="csX1" fmla="*/ 1458916 w 1458916"/>
              <a:gd name="csY1" fmla="*/ 0 h 1536192"/>
              <a:gd name="csX2" fmla="*/ 1458916 w 1458916"/>
              <a:gd name="csY2" fmla="*/ 1536192 h 1536192"/>
              <a:gd name="csX3" fmla="*/ 0 w 1458916"/>
              <a:gd name="csY3" fmla="*/ 1536192 h 1536192"/>
              <a:gd name="csX4" fmla="*/ 0 w 1458916"/>
              <a:gd name="csY4" fmla="*/ 0 h 15361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</a:cxnLst>
            <a:rect l="l" t="t" r="r" b="b"/>
            <a:pathLst>
              <a:path w="1458916" h="1536192">
                <a:moveTo>
                  <a:pt x="0" y="0"/>
                </a:moveTo>
                <a:lnTo>
                  <a:pt x="1458916" y="0"/>
                </a:lnTo>
                <a:lnTo>
                  <a:pt x="1458916" y="1536192"/>
                </a:lnTo>
                <a:lnTo>
                  <a:pt x="0" y="1536192"/>
                </a:lnTo>
                <a:lnTo>
                  <a:pt x="0" y="0"/>
                </a:lnTo>
                <a:close/>
              </a:path>
            </a:pathLst>
          </a:custGeom>
          <a:noFill/>
          <a:ln>
            <a:noFill/>
          </a:ln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hemeClr val="lt1">
              <a:alpha val="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152400" tIns="152400" rIns="152400" bIns="152400" numCol="1" spcCol="1270" anchor="t" anchorCtr="0">
            <a:noAutofit/>
          </a:bodyPr>
          <a:lstStyle/>
          <a:p>
            <a:pPr marL="0" lvl="0" indent="0" algn="l" defTabSz="17780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en-US" sz="4000" kern="1200"/>
          </a:p>
        </xdr:txBody>
      </xdr:sp>
      <xdr:sp macro="" textlink="">
        <xdr:nvSpPr>
          <xdr:cNvPr id="23" name="Freeform: Shape 22">
            <a:extLst>
              <a:ext uri="{FF2B5EF4-FFF2-40B4-BE49-F238E27FC236}">
                <a16:creationId xmlns:a16="http://schemas.microsoft.com/office/drawing/2014/main" id="{9C0FEEB4-1243-E208-05C8-13CDFF23EC25}"/>
              </a:ext>
            </a:extLst>
          </xdr:cNvPr>
          <xdr:cNvSpPr/>
        </xdr:nvSpPr>
        <xdr:spPr>
          <a:xfrm rot="16200000">
            <a:off x="2919098" y="1157841"/>
            <a:ext cx="1975104" cy="561121"/>
          </a:xfrm>
          <a:custGeom>
            <a:avLst/>
            <a:gdLst>
              <a:gd name="csX0" fmla="*/ 0 w 1975104"/>
              <a:gd name="csY0" fmla="*/ 140757 h 561121"/>
              <a:gd name="csX1" fmla="*/ 1634728 w 1975104"/>
              <a:gd name="csY1" fmla="*/ 140757 h 561121"/>
              <a:gd name="csX2" fmla="*/ 1634728 w 1975104"/>
              <a:gd name="csY2" fmla="*/ 0 h 561121"/>
              <a:gd name="csX3" fmla="*/ 1975104 w 1975104"/>
              <a:gd name="csY3" fmla="*/ 280561 h 561121"/>
              <a:gd name="csX4" fmla="*/ 1634728 w 1975104"/>
              <a:gd name="csY4" fmla="*/ 561121 h 561121"/>
              <a:gd name="csX5" fmla="*/ 1634728 w 1975104"/>
              <a:gd name="csY5" fmla="*/ 420364 h 561121"/>
              <a:gd name="csX6" fmla="*/ 0 w 1975104"/>
              <a:gd name="csY6" fmla="*/ 420364 h 561121"/>
              <a:gd name="csX7" fmla="*/ 0 w 1975104"/>
              <a:gd name="csY7" fmla="*/ 140757 h 56112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</a:cxnLst>
            <a:rect l="l" t="t" r="r" b="b"/>
            <a:pathLst>
              <a:path w="1975104" h="561121">
                <a:moveTo>
                  <a:pt x="0" y="140757"/>
                </a:moveTo>
                <a:lnTo>
                  <a:pt x="1634728" y="140757"/>
                </a:lnTo>
                <a:lnTo>
                  <a:pt x="1634728" y="0"/>
                </a:lnTo>
                <a:lnTo>
                  <a:pt x="1975104" y="280561"/>
                </a:lnTo>
                <a:lnTo>
                  <a:pt x="1634728" y="561121"/>
                </a:lnTo>
                <a:lnTo>
                  <a:pt x="1634728" y="420364"/>
                </a:lnTo>
                <a:lnTo>
                  <a:pt x="0" y="420364"/>
                </a:lnTo>
                <a:lnTo>
                  <a:pt x="0" y="140757"/>
                </a:lnTo>
                <a:close/>
              </a:path>
            </a:pathLst>
          </a:cu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tint val="50000"/>
              <a:hueOff val="0"/>
              <a:satOff val="0"/>
              <a:lumOff val="0"/>
              <a:alphaOff val="0"/>
            </a:schemeClr>
          </a:fillRef>
          <a:effectRef idx="0">
            <a:schemeClr val="accent1">
              <a:tint val="50000"/>
              <a:hueOff val="0"/>
              <a:satOff val="0"/>
              <a:lumOff val="0"/>
              <a:alphaOff val="0"/>
            </a:schemeClr>
          </a:effectRef>
          <a:fontRef idx="minor">
            <a:schemeClr val="lt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5719" tIns="186476" rIns="215330" bIns="186478" numCol="1" spcCol="1270" anchor="ctr" anchorCtr="0">
            <a:noAutofit/>
          </a:bodyPr>
          <a:lstStyle/>
          <a:p>
            <a:pPr marL="0" lvl="0" indent="0" algn="r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en-US" sz="1200" kern="1200"/>
          </a:p>
        </xdr:txBody>
      </xdr:sp>
      <xdr:sp macro="" textlink="">
        <xdr:nvSpPr>
          <xdr:cNvPr id="24" name="Freeform: Shape 23">
            <a:extLst>
              <a:ext uri="{FF2B5EF4-FFF2-40B4-BE49-F238E27FC236}">
                <a16:creationId xmlns:a16="http://schemas.microsoft.com/office/drawing/2014/main" id="{FD552DA8-3461-BEAA-8F7C-8950C78C5F9C}"/>
              </a:ext>
            </a:extLst>
          </xdr:cNvPr>
          <xdr:cNvSpPr/>
        </xdr:nvSpPr>
        <xdr:spPr>
          <a:xfrm rot="5400000">
            <a:off x="6846948" y="1925937"/>
            <a:ext cx="1975104" cy="561121"/>
          </a:xfrm>
          <a:custGeom>
            <a:avLst/>
            <a:gdLst>
              <a:gd name="csX0" fmla="*/ 0 w 1975104"/>
              <a:gd name="csY0" fmla="*/ 140757 h 561121"/>
              <a:gd name="csX1" fmla="*/ 1634728 w 1975104"/>
              <a:gd name="csY1" fmla="*/ 140757 h 561121"/>
              <a:gd name="csX2" fmla="*/ 1634728 w 1975104"/>
              <a:gd name="csY2" fmla="*/ 0 h 561121"/>
              <a:gd name="csX3" fmla="*/ 1975104 w 1975104"/>
              <a:gd name="csY3" fmla="*/ 280561 h 561121"/>
              <a:gd name="csX4" fmla="*/ 1634728 w 1975104"/>
              <a:gd name="csY4" fmla="*/ 561121 h 561121"/>
              <a:gd name="csX5" fmla="*/ 1634728 w 1975104"/>
              <a:gd name="csY5" fmla="*/ 420364 h 561121"/>
              <a:gd name="csX6" fmla="*/ 0 w 1975104"/>
              <a:gd name="csY6" fmla="*/ 420364 h 561121"/>
              <a:gd name="csX7" fmla="*/ 0 w 1975104"/>
              <a:gd name="csY7" fmla="*/ 140757 h 56112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</a:cxnLst>
            <a:rect l="l" t="t" r="r" b="b"/>
            <a:pathLst>
              <a:path w="1975104" h="561121">
                <a:moveTo>
                  <a:pt x="0" y="140757"/>
                </a:moveTo>
                <a:lnTo>
                  <a:pt x="1634728" y="140757"/>
                </a:lnTo>
                <a:lnTo>
                  <a:pt x="1634728" y="0"/>
                </a:lnTo>
                <a:lnTo>
                  <a:pt x="1975104" y="280561"/>
                </a:lnTo>
                <a:lnTo>
                  <a:pt x="1634728" y="561121"/>
                </a:lnTo>
                <a:lnTo>
                  <a:pt x="1634728" y="420364"/>
                </a:lnTo>
                <a:lnTo>
                  <a:pt x="0" y="420364"/>
                </a:lnTo>
                <a:lnTo>
                  <a:pt x="0" y="140757"/>
                </a:lnTo>
                <a:close/>
              </a:path>
            </a:pathLst>
          </a:cu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tint val="50000"/>
              <a:hueOff val="0"/>
              <a:satOff val="0"/>
              <a:lumOff val="0"/>
              <a:alphaOff val="0"/>
            </a:schemeClr>
          </a:fillRef>
          <a:effectRef idx="0">
            <a:schemeClr val="accent1">
              <a:tint val="50000"/>
              <a:hueOff val="0"/>
              <a:satOff val="0"/>
              <a:lumOff val="0"/>
              <a:alphaOff val="0"/>
            </a:schemeClr>
          </a:effectRef>
          <a:fontRef idx="minor">
            <a:schemeClr val="lt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45721" tIns="186476" rIns="215328" bIns="186478" numCol="1" spcCol="1270" anchor="ctr" anchorCtr="0">
            <a:noAutofit/>
          </a:bodyPr>
          <a:lstStyle/>
          <a:p>
            <a:pPr marL="0" lvl="0" indent="0" algn="r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en-US" sz="1200" kern="1200"/>
          </a:p>
        </xdr:txBody>
      </xdr:sp>
    </xdr:grpSp>
    <xdr:clientData/>
  </xdr:twoCellAnchor>
  <xdr:oneCellAnchor>
    <xdr:from>
      <xdr:col>4</xdr:col>
      <xdr:colOff>107950</xdr:colOff>
      <xdr:row>5</xdr:row>
      <xdr:rowOff>12700</xdr:rowOff>
    </xdr:from>
    <xdr:ext cx="1562100" cy="843821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F25A493-FA86-400C-96BE-08FE37296570}"/>
            </a:ext>
          </a:extLst>
        </xdr:cNvPr>
        <xdr:cNvSpPr txBox="1"/>
      </xdr:nvSpPr>
      <xdr:spPr>
        <a:xfrm>
          <a:off x="2546350" y="933450"/>
          <a:ext cx="1562100" cy="843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>
              <a:solidFill>
                <a:schemeClr val="bg1"/>
              </a:solidFill>
            </a:rPr>
            <a:t>Average Social Media Hours</a:t>
          </a:r>
        </a:p>
        <a:p>
          <a:r>
            <a:rPr lang="en-US" sz="1200" b="1">
              <a:solidFill>
                <a:schemeClr val="bg1"/>
              </a:solidFill>
            </a:rPr>
            <a:t> – Non-Depressed Students</a:t>
          </a:r>
        </a:p>
      </xdr:txBody>
    </xdr:sp>
    <xdr:clientData/>
  </xdr:oneCellAnchor>
  <xdr:oneCellAnchor>
    <xdr:from>
      <xdr:col>1</xdr:col>
      <xdr:colOff>279400</xdr:colOff>
      <xdr:row>5</xdr:row>
      <xdr:rowOff>12700</xdr:rowOff>
    </xdr:from>
    <xdr:ext cx="1603709" cy="843821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42CF8DD-E9A1-1287-8106-F287145B2933}"/>
            </a:ext>
          </a:extLst>
        </xdr:cNvPr>
        <xdr:cNvSpPr txBox="1"/>
      </xdr:nvSpPr>
      <xdr:spPr>
        <a:xfrm>
          <a:off x="889000" y="933450"/>
          <a:ext cx="1603709" cy="843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Average Social Media</a:t>
          </a:r>
          <a:endParaRPr lang="en-US" sz="1200" b="1">
            <a:solidFill>
              <a:schemeClr val="bg1"/>
            </a:solidFill>
            <a:effectLst/>
          </a:endParaRPr>
        </a:p>
        <a:p>
          <a:r>
            <a:rPr 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Hours</a:t>
          </a:r>
          <a:endParaRPr lang="en-US" sz="1200" b="1">
            <a:solidFill>
              <a:schemeClr val="bg1"/>
            </a:solidFill>
            <a:effectLst/>
          </a:endParaRPr>
        </a:p>
        <a:p>
          <a:r>
            <a:rPr 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– Depressed Students</a:t>
          </a:r>
          <a:endParaRPr lang="en-US" sz="1200" b="1">
            <a:solidFill>
              <a:schemeClr val="bg1"/>
            </a:solidFill>
            <a:effectLst/>
          </a:endParaRPr>
        </a:p>
        <a:p>
          <a:endParaRPr lang="en-US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266700</xdr:colOff>
      <xdr:row>9</xdr:row>
      <xdr:rowOff>140905</xdr:rowOff>
    </xdr:from>
    <xdr:ext cx="1638300" cy="374141"/>
    <xdr:sp macro="" textlink="student_analytics_dataset!$K$8">
      <xdr:nvSpPr>
        <xdr:cNvPr id="28" name="TextBox 27">
          <a:extLst>
            <a:ext uri="{FF2B5EF4-FFF2-40B4-BE49-F238E27FC236}">
              <a16:creationId xmlns:a16="http://schemas.microsoft.com/office/drawing/2014/main" id="{468CDF84-D730-5C6B-6803-9B216B129133}"/>
            </a:ext>
          </a:extLst>
        </xdr:cNvPr>
        <xdr:cNvSpPr txBox="1"/>
      </xdr:nvSpPr>
      <xdr:spPr>
        <a:xfrm>
          <a:off x="876300" y="1798255"/>
          <a:ext cx="163830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16590BBB-7F4C-4766-A927-60DD5997D3F3}" type="TxLink">
            <a:rPr lang="en-US" sz="1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5</a:t>
          </a:fld>
          <a:r>
            <a:rPr lang="en-US" sz="1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 hours/day</a:t>
          </a:r>
          <a:endParaRPr lang="en-US" sz="1800" b="1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234950</xdr:colOff>
      <xdr:row>9</xdr:row>
      <xdr:rowOff>158750</xdr:rowOff>
    </xdr:from>
    <xdr:ext cx="1346202" cy="374141"/>
    <xdr:sp macro="" textlink="student_analytics_dataset!$K$9">
      <xdr:nvSpPr>
        <xdr:cNvPr id="29" name="TextBox 28">
          <a:extLst>
            <a:ext uri="{FF2B5EF4-FFF2-40B4-BE49-F238E27FC236}">
              <a16:creationId xmlns:a16="http://schemas.microsoft.com/office/drawing/2014/main" id="{CE048BD1-23A4-AB6F-CD9A-355A0B2D363B}"/>
            </a:ext>
          </a:extLst>
        </xdr:cNvPr>
        <xdr:cNvSpPr txBox="1"/>
      </xdr:nvSpPr>
      <xdr:spPr>
        <a:xfrm>
          <a:off x="2673350" y="1816100"/>
          <a:ext cx="134620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038CE10-6B4D-40C9-AE05-D8DFC9FAEB93}" type="TxLink">
            <a:rPr lang="en-US" sz="1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2</a:t>
          </a:fld>
          <a:r>
            <a:rPr lang="en-US" sz="1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 hours/day</a:t>
          </a:r>
          <a:endParaRPr lang="en-US" sz="1800" b="1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406400</xdr:colOff>
      <xdr:row>12</xdr:row>
      <xdr:rowOff>82550</xdr:rowOff>
    </xdr:from>
    <xdr:to>
      <xdr:col>3</xdr:col>
      <xdr:colOff>552450</xdr:colOff>
      <xdr:row>17</xdr:row>
      <xdr:rowOff>95250</xdr:rowOff>
    </xdr:to>
    <xdr:sp macro="" textlink="student_analytics_dataset!$L$8">
      <xdr:nvSpPr>
        <xdr:cNvPr id="60" name="Rectangle: Rounded Corners 59">
          <a:extLst>
            <a:ext uri="{FF2B5EF4-FFF2-40B4-BE49-F238E27FC236}">
              <a16:creationId xmlns:a16="http://schemas.microsoft.com/office/drawing/2014/main" id="{0C3AF08E-5C68-52DB-BF5B-412A448A2F32}"/>
            </a:ext>
          </a:extLst>
        </xdr:cNvPr>
        <xdr:cNvSpPr/>
      </xdr:nvSpPr>
      <xdr:spPr>
        <a:xfrm>
          <a:off x="1016000" y="2292350"/>
          <a:ext cx="1365250" cy="9334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Average</a:t>
          </a:r>
          <a:r>
            <a:rPr lang="en-US" sz="1600" b="1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 </a:t>
          </a:r>
          <a:r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CGPA: </a:t>
          </a:r>
          <a:fld id="{5539C261-F91B-4E37-BD43-06CDB4A71FE7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2.6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209550</xdr:colOff>
      <xdr:row>12</xdr:row>
      <xdr:rowOff>88900</xdr:rowOff>
    </xdr:from>
    <xdr:to>
      <xdr:col>6</xdr:col>
      <xdr:colOff>355600</xdr:colOff>
      <xdr:row>17</xdr:row>
      <xdr:rowOff>76200</xdr:rowOff>
    </xdr:to>
    <xdr:sp macro="" textlink="student_analytics_dataset!$L$9">
      <xdr:nvSpPr>
        <xdr:cNvPr id="61" name="Rectangle: Rounded Corners 60">
          <a:extLst>
            <a:ext uri="{FF2B5EF4-FFF2-40B4-BE49-F238E27FC236}">
              <a16:creationId xmlns:a16="http://schemas.microsoft.com/office/drawing/2014/main" id="{C03862F0-2BDF-4CAE-A3C0-DAC410A61650}"/>
            </a:ext>
          </a:extLst>
        </xdr:cNvPr>
        <xdr:cNvSpPr/>
      </xdr:nvSpPr>
      <xdr:spPr>
        <a:xfrm>
          <a:off x="2647950" y="2298700"/>
          <a:ext cx="1365250" cy="9080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Average</a:t>
          </a:r>
        </a:p>
        <a:p>
          <a:pPr algn="ctr"/>
          <a:r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CGPA: </a:t>
          </a:r>
          <a:fld id="{033344E5-7615-4FF0-BA41-EED20FA97615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3.5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393700</xdr:colOff>
      <xdr:row>1</xdr:row>
      <xdr:rowOff>31750</xdr:rowOff>
    </xdr:from>
    <xdr:to>
      <xdr:col>6</xdr:col>
      <xdr:colOff>323850</xdr:colOff>
      <xdr:row>3</xdr:row>
      <xdr:rowOff>152400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7C529E8C-C8C5-6EAF-963C-CD73F96451C3}"/>
            </a:ext>
          </a:extLst>
        </xdr:cNvPr>
        <xdr:cNvSpPr/>
      </xdr:nvSpPr>
      <xdr:spPr>
        <a:xfrm>
          <a:off x="1003300" y="215900"/>
          <a:ext cx="2978150" cy="488950"/>
        </a:xfrm>
        <a:prstGeom prst="rect">
          <a:avLst/>
        </a:prstGeom>
        <a:solidFill>
          <a:schemeClr val="accent1"/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b="1"/>
            <a:t>Student Analytics Dashboard: </a:t>
          </a:r>
        </a:p>
        <a:p>
          <a:pPr algn="ctr"/>
          <a:r>
            <a:rPr lang="en-US" b="1"/>
            <a:t>Social Media and Academic Performance</a:t>
          </a:r>
          <a:endParaRPr lang="en-US" sz="1100" b="1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C6EDA7-BBB0-4BE2-8909-71737A2DB989}" autoFormatId="16" applyNumberFormats="0" applyBorderFormats="0" applyFontFormats="0" applyPatternFormats="0" applyAlignmentFormats="0" applyWidthHeightFormats="0">
  <queryTableRefresh nextId="8">
    <queryTableFields count="7">
      <queryTableField id="1" name="Student ID" tableColumnId="1"/>
      <queryTableField id="2" name="Gender" tableColumnId="2"/>
      <queryTableField id="3" name="Study Hours" tableColumnId="3"/>
      <queryTableField id="4" name="Sleep Hours" tableColumnId="4"/>
      <queryTableField id="5" name="Social Media Hours" tableColumnId="5"/>
      <queryTableField id="6" name="CGPA" tableColumnId="6"/>
      <queryTableField id="7" name="Depress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BE7F7D-91D9-473D-B86C-35FBA8E8C737}" name="student_analytics_dataset" displayName="student_analytics_dataset" ref="A1:G61" tableType="queryTable" totalsRowShown="0" headerRowDxfId="6" dataDxfId="5">
  <autoFilter ref="A1:G61" xr:uid="{B6BE7F7D-91D9-473D-B86C-35FBA8E8C737}"/>
  <tableColumns count="7">
    <tableColumn id="1" xr3:uid="{EABF2937-4A40-489C-8075-8EE5AE913C94}" uniqueName="1" name="Student ID" queryTableFieldId="1" dataDxfId="8"/>
    <tableColumn id="2" xr3:uid="{B3BCE0CE-9C6F-4940-A993-970BEA13B845}" uniqueName="2" name="Gender" queryTableFieldId="2" dataDxfId="2"/>
    <tableColumn id="3" xr3:uid="{63B7F5BF-236D-494E-B3EB-D23B567342BD}" uniqueName="3" name="Study Hours" queryTableFieldId="3" dataDxfId="0"/>
    <tableColumn id="4" xr3:uid="{8BC621F5-107D-4C01-B3F7-CBA1B9631811}" uniqueName="4" name="Sleep Hours" queryTableFieldId="4" dataDxfId="1"/>
    <tableColumn id="5" xr3:uid="{E4D09A1B-6677-4760-BD53-93E62BA92D08}" uniqueName="5" name="Social Media Hours" queryTableFieldId="5" dataDxfId="3"/>
    <tableColumn id="6" xr3:uid="{1330DC21-91B4-49D8-9879-206E5DEFC98D}" uniqueName="6" name="CGPA" queryTableFieldId="6" dataDxfId="4"/>
    <tableColumn id="7" xr3:uid="{488538DB-EC22-4FA0-87B8-0EECEDC70646}" uniqueName="7" name="Depression" queryTableFieldId="7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F47F1-9828-4896-A25E-003272B22442}">
  <dimension ref="A1:L61"/>
  <sheetViews>
    <sheetView tabSelected="1" workbookViewId="0">
      <selection activeCell="J15" sqref="J15"/>
    </sheetView>
  </sheetViews>
  <sheetFormatPr defaultRowHeight="14.5" x14ac:dyDescent="0.35"/>
  <cols>
    <col min="1" max="1" width="14.26953125" style="1" bestFit="1" customWidth="1"/>
    <col min="2" max="2" width="11.54296875" style="1" bestFit="1" customWidth="1"/>
    <col min="3" max="3" width="15.54296875" style="1" bestFit="1" customWidth="1"/>
    <col min="4" max="4" width="15.26953125" style="1" bestFit="1" customWidth="1"/>
    <col min="5" max="5" width="21.36328125" style="1" bestFit="1" customWidth="1"/>
    <col min="6" max="6" width="10" style="1" bestFit="1" customWidth="1"/>
    <col min="7" max="7" width="14.7265625" style="1" bestFit="1" customWidth="1"/>
    <col min="9" max="9" width="6.1796875" customWidth="1"/>
    <col min="10" max="10" width="22" bestFit="1" customWidth="1"/>
    <col min="11" max="11" width="24.1796875" bestFit="1" customWidth="1"/>
  </cols>
  <sheetData>
    <row r="1" spans="1:12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3" t="s">
        <v>11</v>
      </c>
      <c r="K1" s="5">
        <f>COUNT(student_analytics_dataset[Student ID])</f>
        <v>60</v>
      </c>
    </row>
    <row r="2" spans="1:12" ht="15.5" x14ac:dyDescent="0.35">
      <c r="A2" s="1">
        <v>1001</v>
      </c>
      <c r="B2" s="2" t="s">
        <v>7</v>
      </c>
      <c r="C2" s="6">
        <v>2.5</v>
      </c>
      <c r="D2" s="6">
        <v>5</v>
      </c>
      <c r="E2" s="6">
        <v>4.5</v>
      </c>
      <c r="F2" s="1">
        <v>2.8</v>
      </c>
      <c r="G2" s="2" t="s">
        <v>8</v>
      </c>
      <c r="J2" s="3" t="s">
        <v>12</v>
      </c>
      <c r="K2" s="5">
        <f>AVERAGE(student_analytics_dataset[CGPA])</f>
        <v>3.2183333333333337</v>
      </c>
    </row>
    <row r="3" spans="1:12" ht="15.5" x14ac:dyDescent="0.35">
      <c r="A3" s="1">
        <v>1002</v>
      </c>
      <c r="B3" s="2" t="s">
        <v>9</v>
      </c>
      <c r="C3" s="6">
        <v>5</v>
      </c>
      <c r="D3" s="6">
        <v>7</v>
      </c>
      <c r="E3" s="6">
        <v>2</v>
      </c>
      <c r="F3" s="1">
        <v>3.5</v>
      </c>
      <c r="G3" s="2" t="s">
        <v>10</v>
      </c>
      <c r="J3" s="3" t="s">
        <v>13</v>
      </c>
      <c r="K3" s="4">
        <f>COUNTIF(student_analytics_dataset[Depression], "Yes")/COUNTA(student_analytics_dataset[Depression])</f>
        <v>0.31666666666666665</v>
      </c>
    </row>
    <row r="4" spans="1:12" ht="15.5" x14ac:dyDescent="0.35">
      <c r="A4" s="1">
        <v>1003</v>
      </c>
      <c r="B4" s="2" t="s">
        <v>7</v>
      </c>
      <c r="C4" s="6">
        <v>1.5</v>
      </c>
      <c r="D4" s="6">
        <v>4.5</v>
      </c>
      <c r="E4" s="6">
        <v>5</v>
      </c>
      <c r="F4" s="1">
        <v>2.4</v>
      </c>
      <c r="G4" s="2" t="s">
        <v>8</v>
      </c>
      <c r="J4" s="3" t="s">
        <v>14</v>
      </c>
      <c r="K4" s="5">
        <f>AVERAGE(student_analytics_dataset[Sleep Hours])</f>
        <v>6.2833333333333332</v>
      </c>
    </row>
    <row r="5" spans="1:12" ht="15.5" x14ac:dyDescent="0.35">
      <c r="A5" s="1">
        <v>1004</v>
      </c>
      <c r="B5" s="2" t="s">
        <v>9</v>
      </c>
      <c r="C5" s="6">
        <v>6</v>
      </c>
      <c r="D5" s="6">
        <v>8</v>
      </c>
      <c r="E5" s="6">
        <v>1.5</v>
      </c>
      <c r="F5" s="1">
        <v>3.8</v>
      </c>
      <c r="G5" s="2" t="s">
        <v>10</v>
      </c>
      <c r="J5" s="3" t="s">
        <v>15</v>
      </c>
      <c r="K5" s="5">
        <f>AVERAGE(student_analytics_dataset[Study Hours])</f>
        <v>3.9166666666666665</v>
      </c>
    </row>
    <row r="6" spans="1:12" x14ac:dyDescent="0.35">
      <c r="A6" s="1">
        <v>1005</v>
      </c>
      <c r="B6" s="2" t="s">
        <v>7</v>
      </c>
      <c r="C6" s="6">
        <v>3</v>
      </c>
      <c r="D6" s="6">
        <v>6</v>
      </c>
      <c r="E6" s="6">
        <v>3.5</v>
      </c>
      <c r="F6" s="1">
        <v>3</v>
      </c>
      <c r="G6" s="2" t="s">
        <v>10</v>
      </c>
    </row>
    <row r="7" spans="1:12" ht="15.5" x14ac:dyDescent="0.35">
      <c r="A7" s="1">
        <v>1006</v>
      </c>
      <c r="B7" s="2" t="s">
        <v>9</v>
      </c>
      <c r="C7" s="6">
        <v>7</v>
      </c>
      <c r="D7" s="6">
        <v>7.5</v>
      </c>
      <c r="E7" s="6">
        <v>1</v>
      </c>
      <c r="F7" s="1">
        <v>3.9</v>
      </c>
      <c r="G7" s="2" t="s">
        <v>10</v>
      </c>
      <c r="J7" s="3" t="s">
        <v>6</v>
      </c>
      <c r="K7" s="7" t="s">
        <v>16</v>
      </c>
      <c r="L7" s="7" t="s">
        <v>5</v>
      </c>
    </row>
    <row r="8" spans="1:12" ht="15.5" x14ac:dyDescent="0.35">
      <c r="A8" s="1">
        <v>1007</v>
      </c>
      <c r="B8" s="2" t="s">
        <v>7</v>
      </c>
      <c r="C8" s="6">
        <v>4</v>
      </c>
      <c r="D8" s="6">
        <v>6.5</v>
      </c>
      <c r="E8" s="6">
        <v>3</v>
      </c>
      <c r="F8" s="1">
        <v>3.2</v>
      </c>
      <c r="G8" s="2" t="s">
        <v>10</v>
      </c>
      <c r="J8" s="3" t="s">
        <v>8</v>
      </c>
      <c r="K8" s="8">
        <f>AVERAGEIF(student_analytics_dataset[Depression], "Yes", student_analytics_dataset[Social Media Hours])</f>
        <v>4.5526315789473681</v>
      </c>
      <c r="L8" s="9">
        <f>AVERAGEIF(student_analytics_dataset[Depression], "Yes", student_analytics_dataset[CGPA])</f>
        <v>2.6105263157894734</v>
      </c>
    </row>
    <row r="9" spans="1:12" ht="15.5" x14ac:dyDescent="0.35">
      <c r="A9" s="1">
        <v>1008</v>
      </c>
      <c r="B9" s="2" t="s">
        <v>9</v>
      </c>
      <c r="C9" s="6">
        <v>2</v>
      </c>
      <c r="D9" s="6">
        <v>5</v>
      </c>
      <c r="E9" s="6">
        <v>4</v>
      </c>
      <c r="F9" s="1">
        <v>2.7</v>
      </c>
      <c r="G9" s="2" t="s">
        <v>8</v>
      </c>
      <c r="J9" s="3" t="s">
        <v>10</v>
      </c>
      <c r="K9" s="8">
        <f>AVERAGEIF(student_analytics_dataset[Depression], "No", student_analytics_dataset[Social Media Hours])</f>
        <v>2.1341463414634148</v>
      </c>
      <c r="L9" s="7">
        <f>AVERAGEIF(student_analytics_dataset[Depression], "No", student_analytics_dataset[CGPA])</f>
        <v>3.4999999999999991</v>
      </c>
    </row>
    <row r="10" spans="1:12" x14ac:dyDescent="0.35">
      <c r="A10" s="1">
        <v>1009</v>
      </c>
      <c r="B10" s="2" t="s">
        <v>7</v>
      </c>
      <c r="C10" s="6">
        <v>5.5</v>
      </c>
      <c r="D10" s="6">
        <v>7</v>
      </c>
      <c r="E10" s="6">
        <v>2</v>
      </c>
      <c r="F10" s="1">
        <v>3.6</v>
      </c>
      <c r="G10" s="2" t="s">
        <v>10</v>
      </c>
    </row>
    <row r="11" spans="1:12" x14ac:dyDescent="0.35">
      <c r="A11" s="1">
        <v>1010</v>
      </c>
      <c r="B11" s="2" t="s">
        <v>9</v>
      </c>
      <c r="C11" s="6">
        <v>3</v>
      </c>
      <c r="D11" s="6">
        <v>6</v>
      </c>
      <c r="E11" s="6">
        <v>3</v>
      </c>
      <c r="F11" s="1">
        <v>3.1</v>
      </c>
      <c r="G11" s="2" t="s">
        <v>10</v>
      </c>
    </row>
    <row r="12" spans="1:12" x14ac:dyDescent="0.35">
      <c r="A12" s="1">
        <v>1011</v>
      </c>
      <c r="B12" s="2" t="s">
        <v>7</v>
      </c>
      <c r="C12" s="6">
        <v>1</v>
      </c>
      <c r="D12" s="6">
        <v>4</v>
      </c>
      <c r="E12" s="6">
        <v>5.5</v>
      </c>
      <c r="F12" s="1">
        <v>2.2999999999999998</v>
      </c>
      <c r="G12" s="2" t="s">
        <v>8</v>
      </c>
    </row>
    <row r="13" spans="1:12" x14ac:dyDescent="0.35">
      <c r="A13" s="1">
        <v>1012</v>
      </c>
      <c r="B13" s="2" t="s">
        <v>9</v>
      </c>
      <c r="C13" s="6">
        <v>6.5</v>
      </c>
      <c r="D13" s="6">
        <v>8</v>
      </c>
      <c r="E13" s="6">
        <v>1</v>
      </c>
      <c r="F13" s="1">
        <v>3.9</v>
      </c>
      <c r="G13" s="2" t="s">
        <v>10</v>
      </c>
    </row>
    <row r="14" spans="1:12" x14ac:dyDescent="0.35">
      <c r="A14" s="1">
        <v>1013</v>
      </c>
      <c r="B14" s="2" t="s">
        <v>7</v>
      </c>
      <c r="C14" s="6">
        <v>4.5</v>
      </c>
      <c r="D14" s="6">
        <v>7</v>
      </c>
      <c r="E14" s="6">
        <v>2.5</v>
      </c>
      <c r="F14" s="1">
        <v>3.4</v>
      </c>
      <c r="G14" s="2" t="s">
        <v>10</v>
      </c>
    </row>
    <row r="15" spans="1:12" x14ac:dyDescent="0.35">
      <c r="A15" s="1">
        <v>1014</v>
      </c>
      <c r="B15" s="2" t="s">
        <v>9</v>
      </c>
      <c r="C15" s="6">
        <v>2.5</v>
      </c>
      <c r="D15" s="6">
        <v>5.5</v>
      </c>
      <c r="E15" s="6">
        <v>4</v>
      </c>
      <c r="F15" s="1">
        <v>2.9</v>
      </c>
      <c r="G15" s="2" t="s">
        <v>8</v>
      </c>
    </row>
    <row r="16" spans="1:12" x14ac:dyDescent="0.35">
      <c r="A16" s="1">
        <v>1015</v>
      </c>
      <c r="B16" s="2" t="s">
        <v>7</v>
      </c>
      <c r="C16" s="6">
        <v>3.5</v>
      </c>
      <c r="D16" s="6">
        <v>6</v>
      </c>
      <c r="E16" s="6">
        <v>3.5</v>
      </c>
      <c r="F16" s="1">
        <v>3.2</v>
      </c>
      <c r="G16" s="2" t="s">
        <v>10</v>
      </c>
    </row>
    <row r="17" spans="1:7" x14ac:dyDescent="0.35">
      <c r="A17" s="1">
        <v>1016</v>
      </c>
      <c r="B17" s="2" t="s">
        <v>9</v>
      </c>
      <c r="C17" s="6">
        <v>5</v>
      </c>
      <c r="D17" s="6">
        <v>7</v>
      </c>
      <c r="E17" s="6">
        <v>2</v>
      </c>
      <c r="F17" s="1">
        <v>3.6</v>
      </c>
      <c r="G17" s="2" t="s">
        <v>10</v>
      </c>
    </row>
    <row r="18" spans="1:7" x14ac:dyDescent="0.35">
      <c r="A18" s="1">
        <v>1017</v>
      </c>
      <c r="B18" s="2" t="s">
        <v>7</v>
      </c>
      <c r="C18" s="6">
        <v>2</v>
      </c>
      <c r="D18" s="6">
        <v>5</v>
      </c>
      <c r="E18" s="6">
        <v>4.5</v>
      </c>
      <c r="F18" s="1">
        <v>2.6</v>
      </c>
      <c r="G18" s="2" t="s">
        <v>8</v>
      </c>
    </row>
    <row r="19" spans="1:7" x14ac:dyDescent="0.35">
      <c r="A19" s="1">
        <v>1018</v>
      </c>
      <c r="B19" s="2" t="s">
        <v>9</v>
      </c>
      <c r="C19" s="6">
        <v>7</v>
      </c>
      <c r="D19" s="6">
        <v>8</v>
      </c>
      <c r="E19" s="6">
        <v>1</v>
      </c>
      <c r="F19" s="1">
        <v>4</v>
      </c>
      <c r="G19" s="2" t="s">
        <v>10</v>
      </c>
    </row>
    <row r="20" spans="1:7" x14ac:dyDescent="0.35">
      <c r="A20" s="1">
        <v>1019</v>
      </c>
      <c r="B20" s="2" t="s">
        <v>7</v>
      </c>
      <c r="C20" s="6">
        <v>6</v>
      </c>
      <c r="D20" s="6">
        <v>7.5</v>
      </c>
      <c r="E20" s="6">
        <v>1.5</v>
      </c>
      <c r="F20" s="1">
        <v>3.7</v>
      </c>
      <c r="G20" s="2" t="s">
        <v>10</v>
      </c>
    </row>
    <row r="21" spans="1:7" x14ac:dyDescent="0.35">
      <c r="A21" s="1">
        <v>1020</v>
      </c>
      <c r="B21" s="2" t="s">
        <v>9</v>
      </c>
      <c r="C21" s="6">
        <v>3</v>
      </c>
      <c r="D21" s="6">
        <v>6</v>
      </c>
      <c r="E21" s="6">
        <v>3</v>
      </c>
      <c r="F21" s="1">
        <v>3</v>
      </c>
      <c r="G21" s="2" t="s">
        <v>10</v>
      </c>
    </row>
    <row r="22" spans="1:7" x14ac:dyDescent="0.35">
      <c r="A22" s="1">
        <v>1021</v>
      </c>
      <c r="B22" s="2" t="s">
        <v>7</v>
      </c>
      <c r="C22" s="6">
        <v>4</v>
      </c>
      <c r="D22" s="6">
        <v>6.5</v>
      </c>
      <c r="E22" s="6">
        <v>2.5</v>
      </c>
      <c r="F22" s="1">
        <v>3.3</v>
      </c>
      <c r="G22" s="2" t="s">
        <v>10</v>
      </c>
    </row>
    <row r="23" spans="1:7" x14ac:dyDescent="0.35">
      <c r="A23" s="1">
        <v>1022</v>
      </c>
      <c r="B23" s="2" t="s">
        <v>9</v>
      </c>
      <c r="C23" s="6">
        <v>1.5</v>
      </c>
      <c r="D23" s="6">
        <v>4.5</v>
      </c>
      <c r="E23" s="6">
        <v>5</v>
      </c>
      <c r="F23" s="1">
        <v>2.5</v>
      </c>
      <c r="G23" s="2" t="s">
        <v>8</v>
      </c>
    </row>
    <row r="24" spans="1:7" x14ac:dyDescent="0.35">
      <c r="A24" s="1">
        <v>1023</v>
      </c>
      <c r="B24" s="2" t="s">
        <v>7</v>
      </c>
      <c r="C24" s="6">
        <v>5</v>
      </c>
      <c r="D24" s="6">
        <v>7</v>
      </c>
      <c r="E24" s="6">
        <v>2</v>
      </c>
      <c r="F24" s="1">
        <v>3.5</v>
      </c>
      <c r="G24" s="2" t="s">
        <v>10</v>
      </c>
    </row>
    <row r="25" spans="1:7" x14ac:dyDescent="0.35">
      <c r="A25" s="1">
        <v>1024</v>
      </c>
      <c r="B25" s="2" t="s">
        <v>9</v>
      </c>
      <c r="C25" s="6">
        <v>6</v>
      </c>
      <c r="D25" s="6">
        <v>8</v>
      </c>
      <c r="E25" s="6">
        <v>1</v>
      </c>
      <c r="F25" s="1">
        <v>3.8</v>
      </c>
      <c r="G25" s="2" t="s">
        <v>10</v>
      </c>
    </row>
    <row r="26" spans="1:7" x14ac:dyDescent="0.35">
      <c r="A26" s="1">
        <v>1025</v>
      </c>
      <c r="B26" s="2" t="s">
        <v>7</v>
      </c>
      <c r="C26" s="6">
        <v>2.5</v>
      </c>
      <c r="D26" s="6">
        <v>5.5</v>
      </c>
      <c r="E26" s="6">
        <v>4</v>
      </c>
      <c r="F26" s="1">
        <v>2.9</v>
      </c>
      <c r="G26" s="2" t="s">
        <v>8</v>
      </c>
    </row>
    <row r="27" spans="1:7" x14ac:dyDescent="0.35">
      <c r="A27" s="1">
        <v>1026</v>
      </c>
      <c r="B27" s="2" t="s">
        <v>9</v>
      </c>
      <c r="C27" s="6">
        <v>4</v>
      </c>
      <c r="D27" s="6">
        <v>6.5</v>
      </c>
      <c r="E27" s="6">
        <v>2.5</v>
      </c>
      <c r="F27" s="1">
        <v>3.3</v>
      </c>
      <c r="G27" s="2" t="s">
        <v>10</v>
      </c>
    </row>
    <row r="28" spans="1:7" x14ac:dyDescent="0.35">
      <c r="A28" s="1">
        <v>1027</v>
      </c>
      <c r="B28" s="2" t="s">
        <v>7</v>
      </c>
      <c r="C28" s="6">
        <v>3</v>
      </c>
      <c r="D28" s="6">
        <v>6</v>
      </c>
      <c r="E28" s="6">
        <v>3</v>
      </c>
      <c r="F28" s="1">
        <v>3.1</v>
      </c>
      <c r="G28" s="2" t="s">
        <v>10</v>
      </c>
    </row>
    <row r="29" spans="1:7" x14ac:dyDescent="0.35">
      <c r="A29" s="1">
        <v>1028</v>
      </c>
      <c r="B29" s="2" t="s">
        <v>9</v>
      </c>
      <c r="C29" s="6">
        <v>2</v>
      </c>
      <c r="D29" s="6">
        <v>5</v>
      </c>
      <c r="E29" s="6">
        <v>4.5</v>
      </c>
      <c r="F29" s="1">
        <v>2.6</v>
      </c>
      <c r="G29" s="2" t="s">
        <v>8</v>
      </c>
    </row>
    <row r="30" spans="1:7" x14ac:dyDescent="0.35">
      <c r="A30" s="1">
        <v>1029</v>
      </c>
      <c r="B30" s="2" t="s">
        <v>7</v>
      </c>
      <c r="C30" s="6">
        <v>5.5</v>
      </c>
      <c r="D30" s="6">
        <v>7.5</v>
      </c>
      <c r="E30" s="6">
        <v>1.5</v>
      </c>
      <c r="F30" s="1">
        <v>3.7</v>
      </c>
      <c r="G30" s="2" t="s">
        <v>10</v>
      </c>
    </row>
    <row r="31" spans="1:7" x14ac:dyDescent="0.35">
      <c r="A31" s="1">
        <v>1030</v>
      </c>
      <c r="B31" s="2" t="s">
        <v>9</v>
      </c>
      <c r="C31" s="6">
        <v>6</v>
      </c>
      <c r="D31" s="6">
        <v>8</v>
      </c>
      <c r="E31" s="6">
        <v>1</v>
      </c>
      <c r="F31" s="1">
        <v>3.9</v>
      </c>
      <c r="G31" s="2" t="s">
        <v>10</v>
      </c>
    </row>
    <row r="32" spans="1:7" x14ac:dyDescent="0.35">
      <c r="A32" s="1">
        <v>1031</v>
      </c>
      <c r="B32" s="2" t="s">
        <v>7</v>
      </c>
      <c r="C32" s="6">
        <v>1.5</v>
      </c>
      <c r="D32" s="6">
        <v>4</v>
      </c>
      <c r="E32" s="6">
        <v>5</v>
      </c>
      <c r="F32" s="1">
        <v>2.4</v>
      </c>
      <c r="G32" s="2" t="s">
        <v>8</v>
      </c>
    </row>
    <row r="33" spans="1:7" x14ac:dyDescent="0.35">
      <c r="A33" s="1">
        <v>1032</v>
      </c>
      <c r="B33" s="2" t="s">
        <v>9</v>
      </c>
      <c r="C33" s="6">
        <v>7</v>
      </c>
      <c r="D33" s="6">
        <v>8</v>
      </c>
      <c r="E33" s="6">
        <v>1</v>
      </c>
      <c r="F33" s="1">
        <v>4</v>
      </c>
      <c r="G33" s="2" t="s">
        <v>10</v>
      </c>
    </row>
    <row r="34" spans="1:7" x14ac:dyDescent="0.35">
      <c r="A34" s="1">
        <v>1033</v>
      </c>
      <c r="B34" s="2" t="s">
        <v>7</v>
      </c>
      <c r="C34" s="6">
        <v>4.5</v>
      </c>
      <c r="D34" s="6">
        <v>6.5</v>
      </c>
      <c r="E34" s="6">
        <v>2.5</v>
      </c>
      <c r="F34" s="1">
        <v>3.4</v>
      </c>
      <c r="G34" s="2" t="s">
        <v>10</v>
      </c>
    </row>
    <row r="35" spans="1:7" x14ac:dyDescent="0.35">
      <c r="A35" s="1">
        <v>1034</v>
      </c>
      <c r="B35" s="2" t="s">
        <v>9</v>
      </c>
      <c r="C35" s="6">
        <v>3</v>
      </c>
      <c r="D35" s="6">
        <v>6</v>
      </c>
      <c r="E35" s="6">
        <v>3.5</v>
      </c>
      <c r="F35" s="1">
        <v>3.1</v>
      </c>
      <c r="G35" s="2" t="s">
        <v>10</v>
      </c>
    </row>
    <row r="36" spans="1:7" x14ac:dyDescent="0.35">
      <c r="A36" s="1">
        <v>1035</v>
      </c>
      <c r="B36" s="2" t="s">
        <v>7</v>
      </c>
      <c r="C36" s="6">
        <v>2</v>
      </c>
      <c r="D36" s="6">
        <v>5</v>
      </c>
      <c r="E36" s="6">
        <v>4</v>
      </c>
      <c r="F36" s="1">
        <v>2.7</v>
      </c>
      <c r="G36" s="2" t="s">
        <v>8</v>
      </c>
    </row>
    <row r="37" spans="1:7" x14ac:dyDescent="0.35">
      <c r="A37" s="1">
        <v>1036</v>
      </c>
      <c r="B37" s="2" t="s">
        <v>9</v>
      </c>
      <c r="C37" s="6">
        <v>5</v>
      </c>
      <c r="D37" s="6">
        <v>7</v>
      </c>
      <c r="E37" s="6">
        <v>2</v>
      </c>
      <c r="F37" s="1">
        <v>3.6</v>
      </c>
      <c r="G37" s="2" t="s">
        <v>10</v>
      </c>
    </row>
    <row r="38" spans="1:7" x14ac:dyDescent="0.35">
      <c r="A38" s="1">
        <v>1037</v>
      </c>
      <c r="B38" s="2" t="s">
        <v>7</v>
      </c>
      <c r="C38" s="6">
        <v>6</v>
      </c>
      <c r="D38" s="6">
        <v>7.5</v>
      </c>
      <c r="E38" s="6">
        <v>1.5</v>
      </c>
      <c r="F38" s="1">
        <v>3.8</v>
      </c>
      <c r="G38" s="2" t="s">
        <v>10</v>
      </c>
    </row>
    <row r="39" spans="1:7" x14ac:dyDescent="0.35">
      <c r="A39" s="1">
        <v>1038</v>
      </c>
      <c r="B39" s="2" t="s">
        <v>9</v>
      </c>
      <c r="C39" s="6">
        <v>2.5</v>
      </c>
      <c r="D39" s="6">
        <v>5.5</v>
      </c>
      <c r="E39" s="6">
        <v>4</v>
      </c>
      <c r="F39" s="1">
        <v>2.8</v>
      </c>
      <c r="G39" s="2" t="s">
        <v>8</v>
      </c>
    </row>
    <row r="40" spans="1:7" x14ac:dyDescent="0.35">
      <c r="A40" s="1">
        <v>1039</v>
      </c>
      <c r="B40" s="2" t="s">
        <v>7</v>
      </c>
      <c r="C40" s="6">
        <v>3.5</v>
      </c>
      <c r="D40" s="6">
        <v>6</v>
      </c>
      <c r="E40" s="6">
        <v>3</v>
      </c>
      <c r="F40" s="1">
        <v>3.2</v>
      </c>
      <c r="G40" s="2" t="s">
        <v>10</v>
      </c>
    </row>
    <row r="41" spans="1:7" x14ac:dyDescent="0.35">
      <c r="A41" s="1">
        <v>1040</v>
      </c>
      <c r="B41" s="2" t="s">
        <v>9</v>
      </c>
      <c r="C41" s="6">
        <v>4</v>
      </c>
      <c r="D41" s="6">
        <v>6.5</v>
      </c>
      <c r="E41" s="6">
        <v>2.5</v>
      </c>
      <c r="F41" s="1">
        <v>3.3</v>
      </c>
      <c r="G41" s="2" t="s">
        <v>10</v>
      </c>
    </row>
    <row r="42" spans="1:7" x14ac:dyDescent="0.35">
      <c r="A42" s="1">
        <v>1041</v>
      </c>
      <c r="B42" s="2" t="s">
        <v>7</v>
      </c>
      <c r="C42" s="6">
        <v>1</v>
      </c>
      <c r="D42" s="6">
        <v>4</v>
      </c>
      <c r="E42" s="6">
        <v>5.5</v>
      </c>
      <c r="F42" s="1">
        <v>2.2000000000000002</v>
      </c>
      <c r="G42" s="2" t="s">
        <v>8</v>
      </c>
    </row>
    <row r="43" spans="1:7" x14ac:dyDescent="0.35">
      <c r="A43" s="1">
        <v>1042</v>
      </c>
      <c r="B43" s="2" t="s">
        <v>9</v>
      </c>
      <c r="C43" s="6">
        <v>6.5</v>
      </c>
      <c r="D43" s="6">
        <v>8</v>
      </c>
      <c r="E43" s="6">
        <v>1</v>
      </c>
      <c r="F43" s="1">
        <v>3.9</v>
      </c>
      <c r="G43" s="2" t="s">
        <v>10</v>
      </c>
    </row>
    <row r="44" spans="1:7" x14ac:dyDescent="0.35">
      <c r="A44" s="1">
        <v>1043</v>
      </c>
      <c r="B44" s="2" t="s">
        <v>7</v>
      </c>
      <c r="C44" s="6">
        <v>5</v>
      </c>
      <c r="D44" s="6">
        <v>7</v>
      </c>
      <c r="E44" s="6">
        <v>2</v>
      </c>
      <c r="F44" s="1">
        <v>3.5</v>
      </c>
      <c r="G44" s="2" t="s">
        <v>10</v>
      </c>
    </row>
    <row r="45" spans="1:7" x14ac:dyDescent="0.35">
      <c r="A45" s="1">
        <v>1044</v>
      </c>
      <c r="B45" s="2" t="s">
        <v>9</v>
      </c>
      <c r="C45" s="6">
        <v>2</v>
      </c>
      <c r="D45" s="6">
        <v>5</v>
      </c>
      <c r="E45" s="6">
        <v>4</v>
      </c>
      <c r="F45" s="1">
        <v>2.7</v>
      </c>
      <c r="G45" s="2" t="s">
        <v>8</v>
      </c>
    </row>
    <row r="46" spans="1:7" x14ac:dyDescent="0.35">
      <c r="A46" s="1">
        <v>1045</v>
      </c>
      <c r="B46" s="2" t="s">
        <v>7</v>
      </c>
      <c r="C46" s="6">
        <v>4</v>
      </c>
      <c r="D46" s="6">
        <v>6.5</v>
      </c>
      <c r="E46" s="6">
        <v>2.5</v>
      </c>
      <c r="F46" s="1">
        <v>3.3</v>
      </c>
      <c r="G46" s="2" t="s">
        <v>10</v>
      </c>
    </row>
    <row r="47" spans="1:7" x14ac:dyDescent="0.35">
      <c r="A47" s="1">
        <v>1046</v>
      </c>
      <c r="B47" s="2" t="s">
        <v>9</v>
      </c>
      <c r="C47" s="6">
        <v>3</v>
      </c>
      <c r="D47" s="6">
        <v>6</v>
      </c>
      <c r="E47" s="6">
        <v>3</v>
      </c>
      <c r="F47" s="1">
        <v>3</v>
      </c>
      <c r="G47" s="2" t="s">
        <v>10</v>
      </c>
    </row>
    <row r="48" spans="1:7" x14ac:dyDescent="0.35">
      <c r="A48" s="1">
        <v>1047</v>
      </c>
      <c r="B48" s="2" t="s">
        <v>7</v>
      </c>
      <c r="C48" s="6">
        <v>2.5</v>
      </c>
      <c r="D48" s="6">
        <v>5.5</v>
      </c>
      <c r="E48" s="6">
        <v>4.5</v>
      </c>
      <c r="F48" s="1">
        <v>2.8</v>
      </c>
      <c r="G48" s="2" t="s">
        <v>8</v>
      </c>
    </row>
    <row r="49" spans="1:7" x14ac:dyDescent="0.35">
      <c r="A49" s="1">
        <v>1048</v>
      </c>
      <c r="B49" s="2" t="s">
        <v>9</v>
      </c>
      <c r="C49" s="6">
        <v>7</v>
      </c>
      <c r="D49" s="6">
        <v>8</v>
      </c>
      <c r="E49" s="6">
        <v>1</v>
      </c>
      <c r="F49" s="1">
        <v>4</v>
      </c>
      <c r="G49" s="2" t="s">
        <v>10</v>
      </c>
    </row>
    <row r="50" spans="1:7" x14ac:dyDescent="0.35">
      <c r="A50" s="1">
        <v>1049</v>
      </c>
      <c r="B50" s="2" t="s">
        <v>7</v>
      </c>
      <c r="C50" s="6">
        <v>6</v>
      </c>
      <c r="D50" s="6">
        <v>7.5</v>
      </c>
      <c r="E50" s="6">
        <v>1.5</v>
      </c>
      <c r="F50" s="1">
        <v>3.8</v>
      </c>
      <c r="G50" s="2" t="s">
        <v>10</v>
      </c>
    </row>
    <row r="51" spans="1:7" x14ac:dyDescent="0.35">
      <c r="A51" s="1">
        <v>1050</v>
      </c>
      <c r="B51" s="2" t="s">
        <v>9</v>
      </c>
      <c r="C51" s="6">
        <v>1.5</v>
      </c>
      <c r="D51" s="6">
        <v>4.5</v>
      </c>
      <c r="E51" s="6">
        <v>5</v>
      </c>
      <c r="F51" s="1">
        <v>2.5</v>
      </c>
      <c r="G51" s="2" t="s">
        <v>8</v>
      </c>
    </row>
    <row r="52" spans="1:7" x14ac:dyDescent="0.35">
      <c r="A52" s="1">
        <v>1051</v>
      </c>
      <c r="B52" s="2" t="s">
        <v>7</v>
      </c>
      <c r="C52" s="6">
        <v>3</v>
      </c>
      <c r="D52" s="6">
        <v>6</v>
      </c>
      <c r="E52" s="6">
        <v>3.5</v>
      </c>
      <c r="F52" s="1">
        <v>3.1</v>
      </c>
      <c r="G52" s="2" t="s">
        <v>10</v>
      </c>
    </row>
    <row r="53" spans="1:7" x14ac:dyDescent="0.35">
      <c r="A53" s="1">
        <v>1052</v>
      </c>
      <c r="B53" s="2" t="s">
        <v>9</v>
      </c>
      <c r="C53" s="6">
        <v>5</v>
      </c>
      <c r="D53" s="6">
        <v>7</v>
      </c>
      <c r="E53" s="6">
        <v>2</v>
      </c>
      <c r="F53" s="1">
        <v>3.6</v>
      </c>
      <c r="G53" s="2" t="s">
        <v>10</v>
      </c>
    </row>
    <row r="54" spans="1:7" x14ac:dyDescent="0.35">
      <c r="A54" s="1">
        <v>1053</v>
      </c>
      <c r="B54" s="2" t="s">
        <v>7</v>
      </c>
      <c r="C54" s="6">
        <v>4.5</v>
      </c>
      <c r="D54" s="6">
        <v>6.5</v>
      </c>
      <c r="E54" s="6">
        <v>2.5</v>
      </c>
      <c r="F54" s="1">
        <v>3.4</v>
      </c>
      <c r="G54" s="2" t="s">
        <v>10</v>
      </c>
    </row>
    <row r="55" spans="1:7" x14ac:dyDescent="0.35">
      <c r="A55" s="1">
        <v>1054</v>
      </c>
      <c r="B55" s="2" t="s">
        <v>9</v>
      </c>
      <c r="C55" s="6">
        <v>2</v>
      </c>
      <c r="D55" s="6">
        <v>5</v>
      </c>
      <c r="E55" s="6">
        <v>4</v>
      </c>
      <c r="F55" s="1">
        <v>2.6</v>
      </c>
      <c r="G55" s="2" t="s">
        <v>8</v>
      </c>
    </row>
    <row r="56" spans="1:7" x14ac:dyDescent="0.35">
      <c r="A56" s="1">
        <v>1055</v>
      </c>
      <c r="B56" s="2" t="s">
        <v>7</v>
      </c>
      <c r="C56" s="6">
        <v>5.5</v>
      </c>
      <c r="D56" s="6">
        <v>7</v>
      </c>
      <c r="E56" s="6">
        <v>2</v>
      </c>
      <c r="F56" s="1">
        <v>3.6</v>
      </c>
      <c r="G56" s="2" t="s">
        <v>10</v>
      </c>
    </row>
    <row r="57" spans="1:7" x14ac:dyDescent="0.35">
      <c r="A57" s="1">
        <v>1056</v>
      </c>
      <c r="B57" s="2" t="s">
        <v>9</v>
      </c>
      <c r="C57" s="6">
        <v>6</v>
      </c>
      <c r="D57" s="6">
        <v>8</v>
      </c>
      <c r="E57" s="6">
        <v>1</v>
      </c>
      <c r="F57" s="1">
        <v>3.9</v>
      </c>
      <c r="G57" s="2" t="s">
        <v>10</v>
      </c>
    </row>
    <row r="58" spans="1:7" x14ac:dyDescent="0.35">
      <c r="A58" s="1">
        <v>1057</v>
      </c>
      <c r="B58" s="2" t="s">
        <v>7</v>
      </c>
      <c r="C58" s="6">
        <v>1.5</v>
      </c>
      <c r="D58" s="6">
        <v>4.5</v>
      </c>
      <c r="E58" s="6">
        <v>5</v>
      </c>
      <c r="F58" s="1">
        <v>2.4</v>
      </c>
      <c r="G58" s="2" t="s">
        <v>8</v>
      </c>
    </row>
    <row r="59" spans="1:7" x14ac:dyDescent="0.35">
      <c r="A59" s="1">
        <v>1058</v>
      </c>
      <c r="B59" s="2" t="s">
        <v>9</v>
      </c>
      <c r="C59" s="6">
        <v>4</v>
      </c>
      <c r="D59" s="6">
        <v>6.5</v>
      </c>
      <c r="E59" s="6">
        <v>2.5</v>
      </c>
      <c r="F59" s="1">
        <v>3.3</v>
      </c>
      <c r="G59" s="2" t="s">
        <v>10</v>
      </c>
    </row>
    <row r="60" spans="1:7" x14ac:dyDescent="0.35">
      <c r="A60" s="1">
        <v>1059</v>
      </c>
      <c r="B60" s="2" t="s">
        <v>7</v>
      </c>
      <c r="C60" s="6">
        <v>3.5</v>
      </c>
      <c r="D60" s="6">
        <v>6</v>
      </c>
      <c r="E60" s="6">
        <v>3</v>
      </c>
      <c r="F60" s="1">
        <v>3.2</v>
      </c>
      <c r="G60" s="2" t="s">
        <v>10</v>
      </c>
    </row>
    <row r="61" spans="1:7" x14ac:dyDescent="0.35">
      <c r="A61" s="1">
        <v>1060</v>
      </c>
      <c r="B61" s="2" t="s">
        <v>9</v>
      </c>
      <c r="C61" s="6">
        <v>2.5</v>
      </c>
      <c r="D61" s="6">
        <v>5.5</v>
      </c>
      <c r="E61" s="6">
        <v>4.5</v>
      </c>
      <c r="F61" s="1">
        <v>2.8</v>
      </c>
      <c r="G61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4239-408C-4CC5-9A16-6E672A49302E}">
  <dimension ref="A1"/>
  <sheetViews>
    <sheetView zoomScale="94" zoomScaleNormal="94" workbookViewId="0">
      <selection activeCell="P36" sqref="P3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2FB89-72CA-4573-A7C1-7E523278D0B5}">
  <dimension ref="A1"/>
  <sheetViews>
    <sheetView workbookViewId="0">
      <selection activeCell="K14" sqref="K14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687848-3C17-4E56-8E99-FA8A302A42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student_analytics_dataset</vt:lpstr>
      <vt:lpstr>Dahsboard_1</vt:lpstr>
      <vt:lpstr>Dashboard_2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Fatimə Kazimova</dc:creator>
  <cp:lastModifiedBy>Fatimə Kazimova</cp:lastModifiedBy>
  <dcterms:created xsi:type="dcterms:W3CDTF">2026-02-15T12:57:34Z</dcterms:created>
  <dcterms:modified xsi:type="dcterms:W3CDTF">2026-02-15T15:30:42Z</dcterms:modified>
</cp:coreProperties>
</file>